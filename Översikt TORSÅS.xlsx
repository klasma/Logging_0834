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46296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46296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46296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46296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46296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8304-2024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45350</v>
      </c>
      <c r="E12" s="1" t="n">
        <v>46296</v>
      </c>
      <c r="F12" t="inlineStr">
        <is>
          <t>KALMAR LÄN</t>
        </is>
      </c>
      <c r="G12" t="inlineStr">
        <is>
          <t>TORSÅS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n">
        <v>0</v>
      </c>
      <c r="P12" t="n">
        <v>0</v>
      </c>
      <c r="Q12" t="n">
        <v>3</v>
      </c>
      <c r="R12" t="n">
        <v>3</v>
      </c>
      <c r="S12" t="n">
        <v>3</v>
      </c>
      <c r="T12" t="n">
        <v>3</v>
      </c>
      <c r="U12" t="n">
        <v>1</v>
      </c>
      <c r="V12" s="2" t="inlineStr">
        <is>
          <t>Almlav
Korndådra
Gulvit blekspik</t>
        </is>
      </c>
      <c r="W12">
        <f>HYPERLINK("https://klasma.github.io/Logging_0834/artfynd/A 8304-2024 artfynd.xlsx", "A 8304-2024")</f>
        <v/>
      </c>
      <c r="X12">
        <f>HYPERLINK("https://klasma.github.io/Logging_0834/kartor/A 8304-2024 karta.png", "A 8304-2024")</f>
        <v/>
      </c>
      <c r="Y12">
        <f>HYPERLINK("https://klasma.github.io/Logging_0834/kartor_geotiff/A 8304-2024 georefererad karta.tif", "A 8304-2024")</f>
        <v/>
      </c>
      <c r="AA12">
        <f>HYPERLINK("https://klasma.github.io/Logging_0834/klagomål/A 8304-2024 FSC-klagomål.docx", "A 8304-2024")</f>
        <v/>
      </c>
      <c r="AB12">
        <f>HYPERLINK("https://klasma.github.io/Logging_0834/klagomålsmail/A 8304-2024 FSC-klagomål mail.docx", "A 8304-2024")</f>
        <v/>
      </c>
      <c r="AC12">
        <f>HYPERLINK("https://klasma.github.io/Logging_0834/tillsyn/A 8304-2024 tillsynsbegäran.docx", "A 8304-2024")</f>
        <v/>
      </c>
      <c r="AD12">
        <f>HYPERLINK("https://klasma.github.io/Logging_0834/tillsynsmail/A 8304-2024 tillsynsbegäran mail.docx", "A 8304-2024")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46296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46296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46296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46296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46296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46296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46296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46296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46296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46296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46296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46296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46296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9688-2023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46296</v>
      </c>
      <c r="F26" t="inlineStr">
        <is>
          <t>KALMAR LÄN</t>
        </is>
      </c>
      <c r="G26" t="inlineStr">
        <is>
          <t>TORSÅS</t>
        </is>
      </c>
      <c r="I26" t="n">
        <v>3.3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Gullviva</t>
        </is>
      </c>
      <c r="W26">
        <f>HYPERLINK("https://klasma.github.io/Logging_0834/artfynd/A 9688-2023 artfynd.xlsx", "A 9688-2023")</f>
        <v/>
      </c>
      <c r="X26">
        <f>HYPERLINK("https://klasma.github.io/Logging_0834/kartor/A 9688-2023 karta.png", "A 9688-2023")</f>
        <v/>
      </c>
      <c r="Y26">
        <f>HYPERLINK("https://klasma.github.io/Logging_0834/kartor_geotiff/A 9688-2023 georefererad karta.tif", "A 9688-2023")</f>
        <v/>
      </c>
      <c r="AA26">
        <f>HYPERLINK("https://klasma.github.io/Logging_0834/klagomål/A 9688-2023 FSC-klagomål.docx", "A 9688-2023")</f>
        <v/>
      </c>
      <c r="AB26">
        <f>HYPERLINK("https://klasma.github.io/Logging_0834/klagomålsmail/A 9688-2023 FSC-klagomål mail.docx", "A 9688-2023")</f>
        <v/>
      </c>
      <c r="AC26">
        <f>HYPERLINK("https://klasma.github.io/Logging_0834/tillsyn/A 9688-2023 tillsynsbegäran.docx", "A 9688-2023")</f>
        <v/>
      </c>
      <c r="AD26">
        <f>HYPERLINK("https://klasma.github.io/Logging_0834/tillsynsmail/A 9688-2023 tillsynsbegäran mail.docx", "A 9688-2023")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46296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2277-2023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44942</v>
      </c>
      <c r="E28" s="1" t="n">
        <v>46296</v>
      </c>
      <c r="F28" t="inlineStr">
        <is>
          <t>KALMAR LÄN</t>
        </is>
      </c>
      <c r="G28" t="inlineStr">
        <is>
          <t>TORSÅS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HYPERLINK("https://klasma.github.io/Logging_0834/artfynd/A 2277-2023 artfynd.xlsx", "A 2277-2023")</f>
        <v/>
      </c>
      <c r="X28">
        <f>HYPERLINK("https://klasma.github.io/Logging_0834/kartor/A 2277-2023 karta.png", "A 2277-2023")</f>
        <v/>
      </c>
      <c r="Y28">
        <f>HYPERLINK("https://klasma.github.io/Logging_0834/kartor_geotiff/A 2277-2023 georefererad karta.tif", "A 2277-2023")</f>
        <v/>
      </c>
      <c r="AA28">
        <f>HYPERLINK("https://klasma.github.io/Logging_0834/klagomål/A 2277-2023 FSC-klagomål.docx", "A 2277-2023")</f>
        <v/>
      </c>
      <c r="AB28">
        <f>HYPERLINK("https://klasma.github.io/Logging_0834/klagomålsmail/A 2277-2023 FSC-klagomål mail.docx", "A 2277-2023")</f>
        <v/>
      </c>
      <c r="AC28">
        <f>HYPERLINK("https://klasma.github.io/Logging_0834/tillsyn/A 2277-2023 tillsynsbegäran.docx", "A 2277-2023")</f>
        <v/>
      </c>
      <c r="AD28">
        <f>HYPERLINK("https://klasma.github.io/Logging_0834/tillsynsmail/A 2277-2023 tillsynsbegäran mail.docx", "A 2277-2023")</f>
        <v/>
      </c>
    </row>
    <row r="29" ht="15" customHeight="1">
      <c r="A29" t="inlineStr">
        <is>
          <t>A 52071-2023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45223</v>
      </c>
      <c r="E29" s="1" t="n">
        <v>46296</v>
      </c>
      <c r="F29" t="inlineStr">
        <is>
          <t>KALMAR LÄN</t>
        </is>
      </c>
      <c r="G29" t="inlineStr">
        <is>
          <t>TORSÅS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3</v>
      </c>
      <c r="V29" s="2" t="inlineStr">
        <is>
          <t>Gullviva</t>
        </is>
      </c>
      <c r="W29">
        <f>HYPERLINK("https://klasma.github.io/Logging_0834/artfynd/A 52071-2023 artfynd.xlsx", "A 52071-2023")</f>
        <v/>
      </c>
      <c r="X29">
        <f>HYPERLINK("https://klasma.github.io/Logging_0834/kartor/A 52071-2023 karta.png", "A 52071-2023")</f>
        <v/>
      </c>
      <c r="Y29">
        <f>HYPERLINK("https://klasma.github.io/Logging_0834/kartor_geotiff/A 52071-2023 georefererad karta.tif", "A 52071-2023")</f>
        <v/>
      </c>
      <c r="AA29">
        <f>HYPERLINK("https://klasma.github.io/Logging_0834/klagomål/A 52071-2023 FSC-klagomål.docx", "A 52071-2023")</f>
        <v/>
      </c>
      <c r="AB29">
        <f>HYPERLINK("https://klasma.github.io/Logging_0834/klagomålsmail/A 52071-2023 FSC-klagomål mail.docx", "A 52071-2023")</f>
        <v/>
      </c>
      <c r="AC29">
        <f>HYPERLINK("https://klasma.github.io/Logging_0834/tillsyn/A 52071-2023 tillsynsbegäran.docx", "A 52071-2023")</f>
        <v/>
      </c>
      <c r="AD29">
        <f>HYPERLINK("https://klasma.github.io/Logging_0834/tillsynsmail/A 52071-2023 tillsynsbegäran mail.docx", "A 52071-2023")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46296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46296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5755-2022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46296</v>
      </c>
      <c r="F32" t="inlineStr">
        <is>
          <t>KALMAR LÄN</t>
        </is>
      </c>
      <c r="G32" t="inlineStr">
        <is>
          <t>TORSÅS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HYPERLINK("https://klasma.github.io/Logging_0834/artfynd/A 5755-2022 artfynd.xlsx", "A 5755-2022")</f>
        <v/>
      </c>
      <c r="X32">
        <f>HYPERLINK("https://klasma.github.io/Logging_0834/kartor/A 5755-2022 karta.png", "A 5755-2022")</f>
        <v/>
      </c>
      <c r="Y32">
        <f>HYPERLINK("https://klasma.github.io/Logging_0834/kartor_geotiff/A 5755-2022 georefererad karta.tif", "A 5755-2022")</f>
        <v/>
      </c>
      <c r="AA32">
        <f>HYPERLINK("https://klasma.github.io/Logging_0834/klagomål/A 5755-2022 FSC-klagomål.docx", "A 5755-2022")</f>
        <v/>
      </c>
      <c r="AB32">
        <f>HYPERLINK("https://klasma.github.io/Logging_0834/klagomålsmail/A 5755-2022 FSC-klagomål mail.docx", "A 5755-2022")</f>
        <v/>
      </c>
      <c r="AC32">
        <f>HYPERLINK("https://klasma.github.io/Logging_0834/tillsyn/A 5755-2022 tillsynsbegäran.docx", "A 5755-2022")</f>
        <v/>
      </c>
      <c r="AD32">
        <f>HYPERLINK("https://klasma.github.io/Logging_0834/tillsynsmail/A 5755-2022 tillsynsbegäran mail.docx", "A 5755-2022")</f>
        <v/>
      </c>
    </row>
    <row r="33" ht="15" customHeight="1">
      <c r="A33" t="inlineStr">
        <is>
          <t>A 59361-2023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45253</v>
      </c>
      <c r="E33" s="1" t="n">
        <v>46296</v>
      </c>
      <c r="F33" t="inlineStr">
        <is>
          <t>KALMAR LÄN</t>
        </is>
      </c>
      <c r="G33" t="inlineStr">
        <is>
          <t>TORSÅS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Murgröna</t>
        </is>
      </c>
      <c r="W33">
        <f>HYPERLINK("https://klasma.github.io/Logging_0834/artfynd/A 59361-2023 artfynd.xlsx", "A 59361-2023")</f>
        <v/>
      </c>
      <c r="X33">
        <f>HYPERLINK("https://klasma.github.io/Logging_0834/kartor/A 59361-2023 karta.png", "A 59361-2023")</f>
        <v/>
      </c>
      <c r="Y33">
        <f>HYPERLINK("https://klasma.github.io/Logging_0834/kartor_geotiff/A 59361-2023 georefererad karta.tif", "A 59361-2023")</f>
        <v/>
      </c>
      <c r="AA33">
        <f>HYPERLINK("https://klasma.github.io/Logging_0834/klagomål/A 59361-2023 FSC-klagomål.docx", "A 59361-2023")</f>
        <v/>
      </c>
      <c r="AB33">
        <f>HYPERLINK("https://klasma.github.io/Logging_0834/klagomålsmail/A 59361-2023 FSC-klagomål mail.docx", "A 59361-2023")</f>
        <v/>
      </c>
      <c r="AC33">
        <f>HYPERLINK("https://klasma.github.io/Logging_0834/tillsyn/A 59361-2023 tillsynsbegäran.docx", "A 59361-2023")</f>
        <v/>
      </c>
      <c r="AD33">
        <f>HYPERLINK("https://klasma.github.io/Logging_0834/tillsynsmail/A 59361-2023 tillsynsbegäran mail.docx", "A 59361-2023")</f>
        <v/>
      </c>
    </row>
    <row r="34" ht="15" customHeight="1">
      <c r="A34" t="inlineStr">
        <is>
          <t>A 44226-2024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46296</v>
      </c>
      <c r="F34" t="inlineStr">
        <is>
          <t>KALMAR LÄN</t>
        </is>
      </c>
      <c r="G34" t="inlineStr">
        <is>
          <t>TORSÅS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HYPERLINK("https://klasma.github.io/Logging_0834/artfynd/A 44226-2024 artfynd.xlsx", "A 44226-2024")</f>
        <v/>
      </c>
      <c r="X34">
        <f>HYPERLINK("https://klasma.github.io/Logging_0834/kartor/A 44226-2024 karta.png", "A 44226-2024")</f>
        <v/>
      </c>
      <c r="Y34">
        <f>HYPERLINK("https://klasma.github.io/Logging_0834/kartor_geotiff/A 44226-2024 georefererad karta.tif", "A 44226-2024")</f>
        <v/>
      </c>
      <c r="AA34">
        <f>HYPERLINK("https://klasma.github.io/Logging_0834/klagomål/A 44226-2024 FSC-klagomål.docx", "A 44226-2024")</f>
        <v/>
      </c>
      <c r="AB34">
        <f>HYPERLINK("https://klasma.github.io/Logging_0834/klagomålsmail/A 44226-2024 FSC-klagomål mail.docx", "A 44226-2024")</f>
        <v/>
      </c>
      <c r="AC34">
        <f>HYPERLINK("https://klasma.github.io/Logging_0834/tillsyn/A 44226-2024 tillsynsbegäran.docx", "A 44226-2024")</f>
        <v/>
      </c>
      <c r="AD34">
        <f>HYPERLINK("https://klasma.github.io/Logging_0834/tillsynsmail/A 44226-2024 tillsynsbegäran mail.docx", "A 44226-2024")</f>
        <v/>
      </c>
    </row>
    <row r="35" ht="15" customHeight="1">
      <c r="A35" t="inlineStr">
        <is>
          <t>A 36625-2022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44804</v>
      </c>
      <c r="E35" s="1" t="n">
        <v>46296</v>
      </c>
      <c r="F35" t="inlineStr">
        <is>
          <t>KALMAR LÄN</t>
        </is>
      </c>
      <c r="G35" t="inlineStr">
        <is>
          <t>TORSÅS</t>
        </is>
      </c>
      <c r="I35" t="n">
        <v>7.5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revmossa</t>
        </is>
      </c>
      <c r="W35">
        <f>HYPERLINK("https://klasma.github.io/Logging_0834/artfynd/A 36625-2022 artfynd.xlsx", "A 36625-2022")</f>
        <v/>
      </c>
      <c r="X35">
        <f>HYPERLINK("https://klasma.github.io/Logging_0834/kartor/A 36625-2022 karta.png", "A 36625-2022")</f>
        <v/>
      </c>
      <c r="Y35">
        <f>HYPERLINK("https://klasma.github.io/Logging_0834/kartor_geotiff/A 36625-2022 georefererad karta.tif", "A 36625-2022")</f>
        <v/>
      </c>
      <c r="AA35">
        <f>HYPERLINK("https://klasma.github.io/Logging_0834/klagomål/A 36625-2022 FSC-klagomål.docx", "A 36625-2022")</f>
        <v/>
      </c>
      <c r="AB35">
        <f>HYPERLINK("https://klasma.github.io/Logging_0834/klagomålsmail/A 36625-2022 FSC-klagomål mail.docx", "A 36625-2022")</f>
        <v/>
      </c>
      <c r="AC35">
        <f>HYPERLINK("https://klasma.github.io/Logging_0834/tillsyn/A 36625-2022 tillsynsbegäran.docx", "A 36625-2022")</f>
        <v/>
      </c>
      <c r="AD35">
        <f>HYPERLINK("https://klasma.github.io/Logging_0834/tillsynsmail/A 36625-2022 tillsynsbegäran mail.docx", "A 36625-2022")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46296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24157-2023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45079</v>
      </c>
      <c r="E37" s="1" t="n">
        <v>46296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Grovticka</t>
        </is>
      </c>
      <c r="W37">
        <f>HYPERLINK("https://klasma.github.io/Logging_0834/artfynd/A 24157-2023 artfynd.xlsx", "A 24157-2023")</f>
        <v/>
      </c>
      <c r="X37">
        <f>HYPERLINK("https://klasma.github.io/Logging_0834/kartor/A 24157-2023 karta.png", "A 24157-2023")</f>
        <v/>
      </c>
      <c r="Y37">
        <f>HYPERLINK("https://klasma.github.io/Logging_0834/kartor_geotiff/A 24157-2023 georefererad karta.tif", "A 24157-2023")</f>
        <v/>
      </c>
      <c r="AA37">
        <f>HYPERLINK("https://klasma.github.io/Logging_0834/klagomål/A 24157-2023 FSC-klagomål.docx", "A 24157-2023")</f>
        <v/>
      </c>
      <c r="AB37">
        <f>HYPERLINK("https://klasma.github.io/Logging_0834/klagomålsmail/A 24157-2023 FSC-klagomål mail.docx", "A 24157-2023")</f>
        <v/>
      </c>
      <c r="AC37">
        <f>HYPERLINK("https://klasma.github.io/Logging_0834/tillsyn/A 24157-2023 tillsynsbegäran.docx", "A 24157-2023")</f>
        <v/>
      </c>
      <c r="AD37">
        <f>HYPERLINK("https://klasma.github.io/Logging_0834/tillsynsmail/A 24157-2023 tillsynsbegäran mail.docx", "A 24157-2023")</f>
        <v/>
      </c>
    </row>
    <row r="38" ht="15" customHeight="1">
      <c r="A38" t="inlineStr">
        <is>
          <t>A 44569-2025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45917</v>
      </c>
      <c r="E38" s="1" t="n">
        <v>46296</v>
      </c>
      <c r="F38" t="inlineStr">
        <is>
          <t>KALMAR LÄN</t>
        </is>
      </c>
      <c r="G38" t="inlineStr">
        <is>
          <t>TORSÅS</t>
        </is>
      </c>
      <c r="I38" t="n">
        <v>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Huggorm</t>
        </is>
      </c>
      <c r="W38">
        <f>HYPERLINK("https://klasma.github.io/Logging_0834/artfynd/A 44569-2025 artfynd.xlsx", "A 44569-2025")</f>
        <v/>
      </c>
      <c r="X38">
        <f>HYPERLINK("https://klasma.github.io/Logging_0834/kartor/A 44569-2025 karta.png", "A 44569-2025")</f>
        <v/>
      </c>
      <c r="Y38">
        <f>HYPERLINK("https://klasma.github.io/Logging_0834/kartor_geotiff/A 44569-2025 georefererad karta.tif", "A 44569-2025")</f>
        <v/>
      </c>
      <c r="AA38">
        <f>HYPERLINK("https://klasma.github.io/Logging_0834/klagomål/A 44569-2025 FSC-klagomål.docx", "A 44569-2025")</f>
        <v/>
      </c>
      <c r="AB38">
        <f>HYPERLINK("https://klasma.github.io/Logging_0834/klagomålsmail/A 44569-2025 FSC-klagomål mail.docx", "A 44569-2025")</f>
        <v/>
      </c>
      <c r="AC38">
        <f>HYPERLINK("https://klasma.github.io/Logging_0834/tillsyn/A 44569-2025 tillsynsbegäran.docx", "A 44569-2025")</f>
        <v/>
      </c>
      <c r="AD38">
        <f>HYPERLINK("https://klasma.github.io/Logging_0834/tillsynsmail/A 44569-2025 tillsynsbegäran mail.docx", "A 44569-2025")</f>
        <v/>
      </c>
    </row>
    <row r="39" ht="15" customHeight="1">
      <c r="A39" t="inlineStr">
        <is>
          <t>A 6611-2026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46296</v>
      </c>
      <c r="F39" t="inlineStr">
        <is>
          <t>KALMAR LÄN</t>
        </is>
      </c>
      <c r="G39" t="inlineStr">
        <is>
          <t>TORSÅS</t>
        </is>
      </c>
      <c r="I39" t="n">
        <v>5.4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Långbensgroda</t>
        </is>
      </c>
      <c r="W39">
        <f>HYPERLINK("https://klasma.github.io/Logging_0834/artfynd/A 6611-2026 artfynd.xlsx", "A 6611-2026")</f>
        <v/>
      </c>
      <c r="X39">
        <f>HYPERLINK("https://klasma.github.io/Logging_0834/kartor/A 6611-2026 karta.png", "A 6611-2026")</f>
        <v/>
      </c>
      <c r="Y39">
        <f>HYPERLINK("https://klasma.github.io/Logging_0834/kartor_geotiff/A 6611-2026 georefererad karta.tif", "A 6611-2026")</f>
        <v/>
      </c>
      <c r="AA39">
        <f>HYPERLINK("https://klasma.github.io/Logging_0834/klagomål/A 6611-2026 FSC-klagomål.docx", "A 6611-2026")</f>
        <v/>
      </c>
      <c r="AB39">
        <f>HYPERLINK("https://klasma.github.io/Logging_0834/klagomålsmail/A 6611-2026 FSC-klagomål mail.docx", "A 6611-2026")</f>
        <v/>
      </c>
      <c r="AC39">
        <f>HYPERLINK("https://klasma.github.io/Logging_0834/tillsyn/A 6611-2026 tillsynsbegäran.docx", "A 6611-2026")</f>
        <v/>
      </c>
      <c r="AD39">
        <f>HYPERLINK("https://klasma.github.io/Logging_0834/tillsynsmail/A 6611-2026 tillsynsbegäran mail.docx", "A 6611-2026")</f>
        <v/>
      </c>
    </row>
    <row r="40" ht="15" customHeight="1">
      <c r="A40" t="inlineStr">
        <is>
          <t>A 11606-2026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46084</v>
      </c>
      <c r="E40" s="1" t="n">
        <v>46296</v>
      </c>
      <c r="F40" t="inlineStr">
        <is>
          <t>KALMAR LÄN</t>
        </is>
      </c>
      <c r="G40" t="inlineStr">
        <is>
          <t>TORSÅS</t>
        </is>
      </c>
      <c r="I40" t="n">
        <v>4.8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HYPERLINK("https://klasma.github.io/Logging_0834/artfynd/A 11606-2026 artfynd.xlsx", "A 11606-2026")</f>
        <v/>
      </c>
      <c r="X40">
        <f>HYPERLINK("https://klasma.github.io/Logging_0834/kartor/A 11606-2026 karta.png", "A 11606-2026")</f>
        <v/>
      </c>
      <c r="Y40">
        <f>HYPERLINK("https://klasma.github.io/Logging_0834/kartor_geotiff/A 11606-2026 georefererad karta.tif", "A 11606-2026")</f>
        <v/>
      </c>
      <c r="AA40">
        <f>HYPERLINK("https://klasma.github.io/Logging_0834/klagomål/A 11606-2026 FSC-klagomål.docx", "A 11606-2026")</f>
        <v/>
      </c>
      <c r="AB40">
        <f>HYPERLINK("https://klasma.github.io/Logging_0834/klagomålsmail/A 11606-2026 FSC-klagomål mail.docx", "A 11606-2026")</f>
        <v/>
      </c>
      <c r="AC40">
        <f>HYPERLINK("https://klasma.github.io/Logging_0834/tillsyn/A 11606-2026 tillsynsbegäran.docx", "A 11606-2026")</f>
        <v/>
      </c>
      <c r="AD40">
        <f>HYPERLINK("https://klasma.github.io/Logging_0834/tillsynsmail/A 11606-2026 tillsynsbegäran mail.docx", "A 11606-2026")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46296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46296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46296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46296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46296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46296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46296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46296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46296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46296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46296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46296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46296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46296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46296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46296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46296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46296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46296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46296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46296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46296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46296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46296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64991-2021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44514</v>
      </c>
      <c r="E66" s="1" t="n">
        <v>46296</v>
      </c>
      <c r="F66" t="inlineStr">
        <is>
          <t>KALMAR LÄN</t>
        </is>
      </c>
      <c r="G66" t="inlineStr">
        <is>
          <t>TORSÅS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46296</v>
      </c>
      <c r="F67" t="inlineStr">
        <is>
          <t>KALMAR LÄN</t>
        </is>
      </c>
      <c r="G67" t="inlineStr">
        <is>
          <t>TORSÅS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46296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44595</v>
      </c>
      <c r="E69" s="1" t="n">
        <v>46296</v>
      </c>
      <c r="F69" t="inlineStr">
        <is>
          <t>KALMAR LÄN</t>
        </is>
      </c>
      <c r="G69" t="inlineStr">
        <is>
          <t>TORSÅS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70317-2021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44536</v>
      </c>
      <c r="E70" s="1" t="n">
        <v>46296</v>
      </c>
      <c r="F70" t="inlineStr">
        <is>
          <t>KALMAR LÄN</t>
        </is>
      </c>
      <c r="G70" t="inlineStr">
        <is>
          <t>TORSÅS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43575-2022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46296</v>
      </c>
      <c r="F71" t="inlineStr">
        <is>
          <t>KALMAR LÄN</t>
        </is>
      </c>
      <c r="G71" t="inlineStr">
        <is>
          <t>TORSÅS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46296</v>
      </c>
      <c r="F72" t="inlineStr">
        <is>
          <t>KALMAR LÄN</t>
        </is>
      </c>
      <c r="G72" t="inlineStr">
        <is>
          <t>TORSÅS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46296</v>
      </c>
      <c r="F73" t="inlineStr">
        <is>
          <t>KALMAR LÄN</t>
        </is>
      </c>
      <c r="G73" t="inlineStr">
        <is>
          <t>TORSÅS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46296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46296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44475</v>
      </c>
      <c r="E76" s="1" t="n">
        <v>46296</v>
      </c>
      <c r="F76" t="inlineStr">
        <is>
          <t>KALMAR LÄN</t>
        </is>
      </c>
      <c r="G76" t="inlineStr">
        <is>
          <t>TORSÅS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46296</v>
      </c>
      <c r="F77" t="inlineStr">
        <is>
          <t>KALMAR LÄN</t>
        </is>
      </c>
      <c r="G77" t="inlineStr">
        <is>
          <t>TORSÅS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46296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46296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44652</v>
      </c>
      <c r="E80" s="1" t="n">
        <v>46296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46296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46296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46296</v>
      </c>
      <c r="F83" t="inlineStr">
        <is>
          <t>KALMAR LÄN</t>
        </is>
      </c>
      <c r="G83" t="inlineStr">
        <is>
          <t>TORSÅS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28592-2022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44748</v>
      </c>
      <c r="E84" s="1" t="n">
        <v>46296</v>
      </c>
      <c r="F84" t="inlineStr">
        <is>
          <t>KALMAR LÄN</t>
        </is>
      </c>
      <c r="G84" t="inlineStr">
        <is>
          <t>TORSÅS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46296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46296</v>
      </c>
      <c r="F86" t="inlineStr">
        <is>
          <t>KALMAR LÄN</t>
        </is>
      </c>
      <c r="G86" t="inlineStr">
        <is>
          <t>TORSÅS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44489</v>
      </c>
      <c r="E87" s="1" t="n">
        <v>46296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46296</v>
      </c>
      <c r="F88" t="inlineStr">
        <is>
          <t>KALMAR LÄN</t>
        </is>
      </c>
      <c r="G88" t="inlineStr">
        <is>
          <t>TORSÅS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46296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46296</v>
      </c>
      <c r="F90" t="inlineStr">
        <is>
          <t>KALMAR LÄN</t>
        </is>
      </c>
      <c r="G90" t="inlineStr">
        <is>
          <t>TORSÅS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44849</v>
      </c>
      <c r="E91" s="1" t="n">
        <v>46296</v>
      </c>
      <c r="F91" t="inlineStr">
        <is>
          <t>KALMAR LÄN</t>
        </is>
      </c>
      <c r="G91" t="inlineStr">
        <is>
          <t>TORSÅS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46296</v>
      </c>
      <c r="F92" t="inlineStr">
        <is>
          <t>KALMAR LÄN</t>
        </is>
      </c>
      <c r="G92" t="inlineStr">
        <is>
          <t>TORSÅS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65159-2023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45288</v>
      </c>
      <c r="E93" s="1" t="n">
        <v>46296</v>
      </c>
      <c r="F93" t="inlineStr">
        <is>
          <t>KALMAR LÄN</t>
        </is>
      </c>
      <c r="G93" t="inlineStr">
        <is>
          <t>TORSÅS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46296</v>
      </c>
      <c r="F94" t="inlineStr">
        <is>
          <t>KALMAR LÄN</t>
        </is>
      </c>
      <c r="G94" t="inlineStr">
        <is>
          <t>TORSÅS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44694</v>
      </c>
      <c r="E95" s="1" t="n">
        <v>46296</v>
      </c>
      <c r="F95" t="inlineStr">
        <is>
          <t>KALMAR LÄN</t>
        </is>
      </c>
      <c r="G95" t="inlineStr">
        <is>
          <t>TORSÅS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45308</v>
      </c>
      <c r="E96" s="1" t="n">
        <v>46296</v>
      </c>
      <c r="F96" t="inlineStr">
        <is>
          <t>KALMAR LÄN</t>
        </is>
      </c>
      <c r="G96" t="inlineStr">
        <is>
          <t>TORSÅS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45251</v>
      </c>
      <c r="E97" s="1" t="n">
        <v>46296</v>
      </c>
      <c r="F97" t="inlineStr">
        <is>
          <t>KALMAR LÄN</t>
        </is>
      </c>
      <c r="G97" t="inlineStr">
        <is>
          <t>TORSÅS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46296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44827</v>
      </c>
      <c r="E99" s="1" t="n">
        <v>46296</v>
      </c>
      <c r="F99" t="inlineStr">
        <is>
          <t>KALMAR LÄN</t>
        </is>
      </c>
      <c r="G99" t="inlineStr">
        <is>
          <t>TORSÅS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45370</v>
      </c>
      <c r="E100" s="1" t="n">
        <v>46296</v>
      </c>
      <c r="F100" t="inlineStr">
        <is>
          <t>KALMAR LÄN</t>
        </is>
      </c>
      <c r="G100" t="inlineStr">
        <is>
          <t>TORSÅS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46296</v>
      </c>
      <c r="F101" t="inlineStr">
        <is>
          <t>KALMAR LÄN</t>
        </is>
      </c>
      <c r="G101" t="inlineStr">
        <is>
          <t>TORSÅS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44980</v>
      </c>
      <c r="E102" s="1" t="n">
        <v>46296</v>
      </c>
      <c r="F102" t="inlineStr">
        <is>
          <t>KALMAR LÄN</t>
        </is>
      </c>
      <c r="G102" t="inlineStr">
        <is>
          <t>TORSÅS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46296</v>
      </c>
      <c r="F103" t="inlineStr">
        <is>
          <t>KALMAR LÄN</t>
        </is>
      </c>
      <c r="G103" t="inlineStr">
        <is>
          <t>TORSÅS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44889</v>
      </c>
      <c r="E104" s="1" t="n">
        <v>46296</v>
      </c>
      <c r="F104" t="inlineStr">
        <is>
          <t>KALMAR LÄN</t>
        </is>
      </c>
      <c r="G104" t="inlineStr">
        <is>
          <t>TORSÅS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46296</v>
      </c>
      <c r="F105" t="inlineStr">
        <is>
          <t>KALMAR LÄN</t>
        </is>
      </c>
      <c r="G105" t="inlineStr">
        <is>
          <t>TORSÅS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41566-2022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44827</v>
      </c>
      <c r="E106" s="1" t="n">
        <v>46296</v>
      </c>
      <c r="F106" t="inlineStr">
        <is>
          <t>KALMAR LÄN</t>
        </is>
      </c>
      <c r="G106" t="inlineStr">
        <is>
          <t>TORSÅS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46296</v>
      </c>
      <c r="F107" t="inlineStr">
        <is>
          <t>KALMAR LÄN</t>
        </is>
      </c>
      <c r="G107" t="inlineStr">
        <is>
          <t>TORSÅS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46296</v>
      </c>
      <c r="F108" t="inlineStr">
        <is>
          <t>KALMAR LÄN</t>
        </is>
      </c>
      <c r="G108" t="inlineStr">
        <is>
          <t>TORSÅS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45000</v>
      </c>
      <c r="E109" s="1" t="n">
        <v>46296</v>
      </c>
      <c r="F109" t="inlineStr">
        <is>
          <t>KALMAR LÄN</t>
        </is>
      </c>
      <c r="G109" t="inlineStr">
        <is>
          <t>TORSÅS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45734</v>
      </c>
      <c r="E110" s="1" t="n">
        <v>46296</v>
      </c>
      <c r="F110" t="inlineStr">
        <is>
          <t>KALMAR LÄN</t>
        </is>
      </c>
      <c r="G110" t="inlineStr">
        <is>
          <t>TORSÅS</t>
        </is>
      </c>
      <c r="I110" t="n">
        <v>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46296</v>
      </c>
      <c r="F111" t="inlineStr">
        <is>
          <t>KALMAR LÄN</t>
        </is>
      </c>
      <c r="G111" t="inlineStr">
        <is>
          <t>TORSÅS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46296</v>
      </c>
      <c r="F112" t="inlineStr">
        <is>
          <t>KALMAR LÄN</t>
        </is>
      </c>
      <c r="G112" t="inlineStr">
        <is>
          <t>TORSÅS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46296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46296</v>
      </c>
      <c r="F114" t="inlineStr">
        <is>
          <t>KALMAR LÄN</t>
        </is>
      </c>
      <c r="G114" t="inlineStr">
        <is>
          <t>TORSÅS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46296</v>
      </c>
      <c r="F115" t="inlineStr">
        <is>
          <t>KALMAR LÄN</t>
        </is>
      </c>
      <c r="G115" t="inlineStr">
        <is>
          <t>TORSÅS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46296</v>
      </c>
      <c r="F116" t="inlineStr">
        <is>
          <t>KALMAR LÄN</t>
        </is>
      </c>
      <c r="G116" t="inlineStr">
        <is>
          <t>TORSÅS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45324</v>
      </c>
      <c r="E117" s="1" t="n">
        <v>46296</v>
      </c>
      <c r="F117" t="inlineStr">
        <is>
          <t>KALMAR LÄN</t>
        </is>
      </c>
      <c r="G117" t="inlineStr">
        <is>
          <t>TORSÅS</t>
        </is>
      </c>
      <c r="H117" t="inlineStr">
        <is>
          <t>Övriga Aktiebolag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70315-2021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44536</v>
      </c>
      <c r="E118" s="1" t="n">
        <v>46296</v>
      </c>
      <c r="F118" t="inlineStr">
        <is>
          <t>KALMAR LÄN</t>
        </is>
      </c>
      <c r="G118" t="inlineStr">
        <is>
          <t>TORSÅS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46296</v>
      </c>
      <c r="F119" t="inlineStr">
        <is>
          <t>KALMAR LÄN</t>
        </is>
      </c>
      <c r="G119" t="inlineStr">
        <is>
          <t>TORSÅS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45252</v>
      </c>
      <c r="E120" s="1" t="n">
        <v>46296</v>
      </c>
      <c r="F120" t="inlineStr">
        <is>
          <t>KALMAR LÄN</t>
        </is>
      </c>
      <c r="G120" t="inlineStr">
        <is>
          <t>TORSÅS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44741</v>
      </c>
      <c r="E121" s="1" t="n">
        <v>46296</v>
      </c>
      <c r="F121" t="inlineStr">
        <is>
          <t>KALMAR LÄN</t>
        </is>
      </c>
      <c r="G121" t="inlineStr">
        <is>
          <t>TORSÅS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46296</v>
      </c>
      <c r="F122" t="inlineStr">
        <is>
          <t>KALMAR LÄN</t>
        </is>
      </c>
      <c r="G122" t="inlineStr">
        <is>
          <t>TORSÅS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44943</v>
      </c>
      <c r="E123" s="1" t="n">
        <v>46296</v>
      </c>
      <c r="F123" t="inlineStr">
        <is>
          <t>KALMAR LÄN</t>
        </is>
      </c>
      <c r="G123" t="inlineStr">
        <is>
          <t>TORSÅS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44883</v>
      </c>
      <c r="E124" s="1" t="n">
        <v>46296</v>
      </c>
      <c r="F124" t="inlineStr">
        <is>
          <t>KALMAR LÄN</t>
        </is>
      </c>
      <c r="G124" t="inlineStr">
        <is>
          <t>TORSÅS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44988</v>
      </c>
      <c r="E125" s="1" t="n">
        <v>46296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46296</v>
      </c>
      <c r="F126" t="inlineStr">
        <is>
          <t>KALMAR LÄN</t>
        </is>
      </c>
      <c r="G126" t="inlineStr">
        <is>
          <t>TORSÅS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46296</v>
      </c>
      <c r="F127" t="inlineStr">
        <is>
          <t>KALMAR LÄN</t>
        </is>
      </c>
      <c r="G127" t="inlineStr">
        <is>
          <t>TORSÅS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44992</v>
      </c>
      <c r="E128" s="1" t="n">
        <v>46296</v>
      </c>
      <c r="F128" t="inlineStr">
        <is>
          <t>KALMAR LÄN</t>
        </is>
      </c>
      <c r="G128" t="inlineStr">
        <is>
          <t>TORSÅS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14937-2022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44657</v>
      </c>
      <c r="E129" s="1" t="n">
        <v>46296</v>
      </c>
      <c r="F129" t="inlineStr">
        <is>
          <t>KALMAR LÄN</t>
        </is>
      </c>
      <c r="G129" t="inlineStr">
        <is>
          <t>TORSÅS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45155</v>
      </c>
      <c r="E130" s="1" t="n">
        <v>46296</v>
      </c>
      <c r="F130" t="inlineStr">
        <is>
          <t>KALMAR LÄN</t>
        </is>
      </c>
      <c r="G130" t="inlineStr">
        <is>
          <t>TORSÅS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45201</v>
      </c>
      <c r="E131" s="1" t="n">
        <v>46296</v>
      </c>
      <c r="F131" t="inlineStr">
        <is>
          <t>KALMAR LÄN</t>
        </is>
      </c>
      <c r="G131" t="inlineStr">
        <is>
          <t>TORSÅS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46296</v>
      </c>
      <c r="F132" t="inlineStr">
        <is>
          <t>KALMAR LÄN</t>
        </is>
      </c>
      <c r="G132" t="inlineStr">
        <is>
          <t>TORSÅS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44763</v>
      </c>
      <c r="E133" s="1" t="n">
        <v>46296</v>
      </c>
      <c r="F133" t="inlineStr">
        <is>
          <t>KALMAR LÄN</t>
        </is>
      </c>
      <c r="G133" t="inlineStr">
        <is>
          <t>TORSÅS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46296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45225</v>
      </c>
      <c r="E135" s="1" t="n">
        <v>46296</v>
      </c>
      <c r="F135" t="inlineStr">
        <is>
          <t>KALMAR LÄN</t>
        </is>
      </c>
      <c r="G135" t="inlineStr">
        <is>
          <t>TORSÅS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46296</v>
      </c>
      <c r="F136" t="inlineStr">
        <is>
          <t>KALMAR LÄN</t>
        </is>
      </c>
      <c r="G136" t="inlineStr">
        <is>
          <t>TORSÅS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45440</v>
      </c>
      <c r="E137" s="1" t="n">
        <v>46296</v>
      </c>
      <c r="F137" t="inlineStr">
        <is>
          <t>KALMAR LÄN</t>
        </is>
      </c>
      <c r="G137" t="inlineStr">
        <is>
          <t>TORSÅS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46296</v>
      </c>
      <c r="F138" t="inlineStr">
        <is>
          <t>KALMAR LÄN</t>
        </is>
      </c>
      <c r="G138" t="inlineStr">
        <is>
          <t>TORSÅS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46296</v>
      </c>
      <c r="F139" t="inlineStr">
        <is>
          <t>KALMAR LÄN</t>
        </is>
      </c>
      <c r="G139" t="inlineStr">
        <is>
          <t>TORSÅS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55675-2021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44476</v>
      </c>
      <c r="E140" s="1" t="n">
        <v>46296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46296</v>
      </c>
      <c r="F141" t="inlineStr">
        <is>
          <t>KALMAR LÄN</t>
        </is>
      </c>
      <c r="G141" t="inlineStr">
        <is>
          <t>TORSÅS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45362</v>
      </c>
      <c r="E142" s="1" t="n">
        <v>46296</v>
      </c>
      <c r="F142" t="inlineStr">
        <is>
          <t>KALMAR LÄN</t>
        </is>
      </c>
      <c r="G142" t="inlineStr">
        <is>
          <t>TORSÅS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46296</v>
      </c>
      <c r="F143" t="inlineStr">
        <is>
          <t>KALMAR LÄN</t>
        </is>
      </c>
      <c r="G143" t="inlineStr">
        <is>
          <t>TORSÅS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62101-2021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44502</v>
      </c>
      <c r="E144" s="1" t="n">
        <v>46296</v>
      </c>
      <c r="F144" t="inlineStr">
        <is>
          <t>KALMAR LÄN</t>
        </is>
      </c>
      <c r="G144" t="inlineStr">
        <is>
          <t>TORSÅS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45027</v>
      </c>
      <c r="E145" s="1" t="n">
        <v>46296</v>
      </c>
      <c r="F145" t="inlineStr">
        <is>
          <t>KALMAR LÄN</t>
        </is>
      </c>
      <c r="G145" t="inlineStr">
        <is>
          <t>TORSÅS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46296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45323</v>
      </c>
      <c r="E147" s="1" t="n">
        <v>46296</v>
      </c>
      <c r="F147" t="inlineStr">
        <is>
          <t>KALMAR LÄN</t>
        </is>
      </c>
      <c r="G147" t="inlineStr">
        <is>
          <t>TORSÅS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44739</v>
      </c>
      <c r="E148" s="1" t="n">
        <v>46296</v>
      </c>
      <c r="F148" t="inlineStr">
        <is>
          <t>KALMAR LÄN</t>
        </is>
      </c>
      <c r="G148" t="inlineStr">
        <is>
          <t>TORSÅS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46296</v>
      </c>
      <c r="F149" t="inlineStr">
        <is>
          <t>KALMAR LÄN</t>
        </is>
      </c>
      <c r="G149" t="inlineStr">
        <is>
          <t>TORSÅS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46296</v>
      </c>
      <c r="F150" t="inlineStr">
        <is>
          <t>KALMAR LÄN</t>
        </is>
      </c>
      <c r="G150" t="inlineStr">
        <is>
          <t>TORSÅS</t>
        </is>
      </c>
      <c r="H150" t="inlineStr">
        <is>
          <t>Övriga Aktiebolag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46296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44965</v>
      </c>
      <c r="E152" s="1" t="n">
        <v>46296</v>
      </c>
      <c r="F152" t="inlineStr">
        <is>
          <t>KALMAR LÄN</t>
        </is>
      </c>
      <c r="G152" t="inlineStr">
        <is>
          <t>TORSÅS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46296</v>
      </c>
      <c r="F153" t="inlineStr">
        <is>
          <t>KALMAR LÄN</t>
        </is>
      </c>
      <c r="G153" t="inlineStr">
        <is>
          <t>TORSÅS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46296</v>
      </c>
      <c r="F154" t="inlineStr">
        <is>
          <t>KALMAR LÄN</t>
        </is>
      </c>
      <c r="G154" t="inlineStr">
        <is>
          <t>TORSÅS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46296</v>
      </c>
      <c r="F155" t="inlineStr">
        <is>
          <t>KALMAR LÄN</t>
        </is>
      </c>
      <c r="G155" t="inlineStr">
        <is>
          <t>TORSÅS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46296</v>
      </c>
      <c r="F156" t="inlineStr">
        <is>
          <t>KALMAR LÄN</t>
        </is>
      </c>
      <c r="G156" t="inlineStr">
        <is>
          <t>TORSÅS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46296</v>
      </c>
      <c r="F157" t="inlineStr">
        <is>
          <t>KALMAR LÄN</t>
        </is>
      </c>
      <c r="G157" t="inlineStr">
        <is>
          <t>TORSÅS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46296</v>
      </c>
      <c r="F158" t="inlineStr">
        <is>
          <t>KALMAR LÄN</t>
        </is>
      </c>
      <c r="G158" t="inlineStr">
        <is>
          <t>TORSÅS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46296</v>
      </c>
      <c r="F159" t="inlineStr">
        <is>
          <t>KALMAR LÄN</t>
        </is>
      </c>
      <c r="G159" t="inlineStr">
        <is>
          <t>TORSÅS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44600</v>
      </c>
      <c r="E160" s="1" t="n">
        <v>46296</v>
      </c>
      <c r="F160" t="inlineStr">
        <is>
          <t>KALMAR LÄN</t>
        </is>
      </c>
      <c r="G160" t="inlineStr">
        <is>
          <t>TORSÅS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45029</v>
      </c>
      <c r="E161" s="1" t="n">
        <v>46296</v>
      </c>
      <c r="F161" t="inlineStr">
        <is>
          <t>KALMAR LÄN</t>
        </is>
      </c>
      <c r="G161" t="inlineStr">
        <is>
          <t>TORSÅS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46296</v>
      </c>
      <c r="F162" t="inlineStr">
        <is>
          <t>KALMAR LÄN</t>
        </is>
      </c>
      <c r="G162" t="inlineStr">
        <is>
          <t>TORSÅS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46296</v>
      </c>
      <c r="F163" t="inlineStr">
        <is>
          <t>KALMAR LÄN</t>
        </is>
      </c>
      <c r="G163" t="inlineStr">
        <is>
          <t>TORSÅS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45352</v>
      </c>
      <c r="E164" s="1" t="n">
        <v>46296</v>
      </c>
      <c r="F164" t="inlineStr">
        <is>
          <t>KALMAR LÄN</t>
        </is>
      </c>
      <c r="G164" t="inlineStr">
        <is>
          <t>TORSÅS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68493-2021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44529</v>
      </c>
      <c r="E165" s="1" t="n">
        <v>46296</v>
      </c>
      <c r="F165" t="inlineStr">
        <is>
          <t>KALMAR LÄN</t>
        </is>
      </c>
      <c r="G165" t="inlineStr">
        <is>
          <t>TORSÅS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45330</v>
      </c>
      <c r="E166" s="1" t="n">
        <v>46296</v>
      </c>
      <c r="F166" t="inlineStr">
        <is>
          <t>KALMAR LÄN</t>
        </is>
      </c>
      <c r="G166" t="inlineStr">
        <is>
          <t>TORSÅS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46296</v>
      </c>
      <c r="F167" t="inlineStr">
        <is>
          <t>KALMAR LÄN</t>
        </is>
      </c>
      <c r="G167" t="inlineStr">
        <is>
          <t>TORSÅS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45075</v>
      </c>
      <c r="E168" s="1" t="n">
        <v>46296</v>
      </c>
      <c r="F168" t="inlineStr">
        <is>
          <t>KALMAR LÄN</t>
        </is>
      </c>
      <c r="G168" t="inlineStr">
        <is>
          <t>TORSÅS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46296</v>
      </c>
      <c r="F169" t="inlineStr">
        <is>
          <t>KALMAR LÄN</t>
        </is>
      </c>
      <c r="G169" t="inlineStr">
        <is>
          <t>TORSÅS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46296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44613</v>
      </c>
      <c r="E171" s="1" t="n">
        <v>46296</v>
      </c>
      <c r="F171" t="inlineStr">
        <is>
          <t>KALMAR LÄN</t>
        </is>
      </c>
      <c r="G171" t="inlineStr">
        <is>
          <t>TORSÅS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19648-2025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45770</v>
      </c>
      <c r="E172" s="1" t="n">
        <v>46296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44795</v>
      </c>
      <c r="E173" s="1" t="n">
        <v>46296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46296</v>
      </c>
      <c r="F174" t="inlineStr">
        <is>
          <t>KALMAR LÄN</t>
        </is>
      </c>
      <c r="G174" t="inlineStr">
        <is>
          <t>TORSÅS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46296</v>
      </c>
      <c r="F175" t="inlineStr">
        <is>
          <t>KALMAR LÄN</t>
        </is>
      </c>
      <c r="G175" t="inlineStr">
        <is>
          <t>TORSÅS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46296</v>
      </c>
      <c r="F176" t="inlineStr">
        <is>
          <t>KALMAR LÄN</t>
        </is>
      </c>
      <c r="G176" t="inlineStr">
        <is>
          <t>TORSÅS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46296</v>
      </c>
      <c r="F177" t="inlineStr">
        <is>
          <t>KALMAR LÄN</t>
        </is>
      </c>
      <c r="G177" t="inlineStr">
        <is>
          <t>TORSÅS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46296</v>
      </c>
      <c r="F178" t="inlineStr">
        <is>
          <t>KALMAR LÄN</t>
        </is>
      </c>
      <c r="G178" t="inlineStr">
        <is>
          <t>TORSÅS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46296</v>
      </c>
      <c r="F179" t="inlineStr">
        <is>
          <t>KALMAR LÄN</t>
        </is>
      </c>
      <c r="G179" t="inlineStr">
        <is>
          <t>TORSÅS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46296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46296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46296</v>
      </c>
      <c r="F182" t="inlineStr">
        <is>
          <t>KALMAR LÄN</t>
        </is>
      </c>
      <c r="G182" t="inlineStr">
        <is>
          <t>TORSÅS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44890</v>
      </c>
      <c r="E183" s="1" t="n">
        <v>46296</v>
      </c>
      <c r="F183" t="inlineStr">
        <is>
          <t>KALMAR LÄN</t>
        </is>
      </c>
      <c r="G183" t="inlineStr">
        <is>
          <t>TORSÅS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46296</v>
      </c>
      <c r="F184" t="inlineStr">
        <is>
          <t>KALMAR LÄN</t>
        </is>
      </c>
      <c r="G184" t="inlineStr">
        <is>
          <t>TORSÅS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45250</v>
      </c>
      <c r="E185" s="1" t="n">
        <v>46296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60360-2022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44910</v>
      </c>
      <c r="E186" s="1" t="n">
        <v>46296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26696-2023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46296</v>
      </c>
      <c r="F187" t="inlineStr">
        <is>
          <t>KALMAR LÄN</t>
        </is>
      </c>
      <c r="G187" t="inlineStr">
        <is>
          <t>TORSÅS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46296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46296</v>
      </c>
      <c r="F189" t="inlineStr">
        <is>
          <t>KALMAR LÄN</t>
        </is>
      </c>
      <c r="G189" t="inlineStr">
        <is>
          <t>TORSÅS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46296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46296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46296</v>
      </c>
      <c r="F192" t="inlineStr">
        <is>
          <t>KALMAR LÄN</t>
        </is>
      </c>
      <c r="G192" t="inlineStr">
        <is>
          <t>TORSÅS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45145</v>
      </c>
      <c r="E193" s="1" t="n">
        <v>46296</v>
      </c>
      <c r="F193" t="inlineStr">
        <is>
          <t>KALMAR LÄN</t>
        </is>
      </c>
      <c r="G193" t="inlineStr">
        <is>
          <t>TORSÅS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45328</v>
      </c>
      <c r="E194" s="1" t="n">
        <v>46296</v>
      </c>
      <c r="F194" t="inlineStr">
        <is>
          <t>KALMAR LÄN</t>
        </is>
      </c>
      <c r="G194" t="inlineStr">
        <is>
          <t>TORSÅS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45350</v>
      </c>
      <c r="E195" s="1" t="n">
        <v>46296</v>
      </c>
      <c r="F195" t="inlineStr">
        <is>
          <t>KALMAR LÄN</t>
        </is>
      </c>
      <c r="G195" t="inlineStr">
        <is>
          <t>TORSÅS</t>
        </is>
      </c>
      <c r="I195" t="n">
        <v>13.8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46296</v>
      </c>
      <c r="F196" t="inlineStr">
        <is>
          <t>KALMAR LÄN</t>
        </is>
      </c>
      <c r="G196" t="inlineStr">
        <is>
          <t>TORSÅS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53367-2022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44879</v>
      </c>
      <c r="E197" s="1" t="n">
        <v>46296</v>
      </c>
      <c r="F197" t="inlineStr">
        <is>
          <t>KALMAR LÄN</t>
        </is>
      </c>
      <c r="G197" t="inlineStr">
        <is>
          <t>TORSÅS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46296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46296</v>
      </c>
      <c r="F199" t="inlineStr">
        <is>
          <t>KALMAR LÄN</t>
        </is>
      </c>
      <c r="G199" t="inlineStr">
        <is>
          <t>TORSÅS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46296</v>
      </c>
      <c r="F200" t="inlineStr">
        <is>
          <t>KALMAR LÄN</t>
        </is>
      </c>
      <c r="G200" t="inlineStr">
        <is>
          <t>TORSÅS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44938</v>
      </c>
      <c r="E201" s="1" t="n">
        <v>46296</v>
      </c>
      <c r="F201" t="inlineStr">
        <is>
          <t>KALMAR LÄN</t>
        </is>
      </c>
      <c r="G201" t="inlineStr">
        <is>
          <t>TORSÅS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46296</v>
      </c>
      <c r="F202" t="inlineStr">
        <is>
          <t>KALMAR LÄN</t>
        </is>
      </c>
      <c r="G202" t="inlineStr">
        <is>
          <t>TORSÅS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46296</v>
      </c>
      <c r="F203" t="inlineStr">
        <is>
          <t>KALMAR LÄN</t>
        </is>
      </c>
      <c r="G203" t="inlineStr">
        <is>
          <t>TORSÅS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45299</v>
      </c>
      <c r="E204" s="1" t="n">
        <v>46296</v>
      </c>
      <c r="F204" t="inlineStr">
        <is>
          <t>KALMAR LÄN</t>
        </is>
      </c>
      <c r="G204" t="inlineStr">
        <is>
          <t>TORSÅS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46296</v>
      </c>
      <c r="F205" t="inlineStr">
        <is>
          <t>KALMAR LÄN</t>
        </is>
      </c>
      <c r="G205" t="inlineStr">
        <is>
          <t>TORSÅS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46296</v>
      </c>
      <c r="F206" t="inlineStr">
        <is>
          <t>KALMAR LÄN</t>
        </is>
      </c>
      <c r="G206" t="inlineStr">
        <is>
          <t>TORSÅS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46296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45694</v>
      </c>
      <c r="E208" s="1" t="n">
        <v>46296</v>
      </c>
      <c r="F208" t="inlineStr">
        <is>
          <t>KALMAR LÄN</t>
        </is>
      </c>
      <c r="G208" t="inlineStr">
        <is>
          <t>TORSÅS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46296</v>
      </c>
      <c r="F209" t="inlineStr">
        <is>
          <t>KALMAR LÄN</t>
        </is>
      </c>
      <c r="G209" t="inlineStr">
        <is>
          <t>TORSÅS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46296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46296</v>
      </c>
      <c r="F211" t="inlineStr">
        <is>
          <t>KALMAR LÄN</t>
        </is>
      </c>
      <c r="G211" t="inlineStr">
        <is>
          <t>TORSÅS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45335</v>
      </c>
      <c r="E212" s="1" t="n">
        <v>46296</v>
      </c>
      <c r="F212" t="inlineStr">
        <is>
          <t>KALMAR LÄN</t>
        </is>
      </c>
      <c r="G212" t="inlineStr">
        <is>
          <t>TORSÅS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45785</v>
      </c>
      <c r="E213" s="1" t="n">
        <v>46296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46296</v>
      </c>
      <c r="F214" t="inlineStr">
        <is>
          <t>KALMAR LÄN</t>
        </is>
      </c>
      <c r="G214" t="inlineStr">
        <is>
          <t>TORSÅS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45250</v>
      </c>
      <c r="E215" s="1" t="n">
        <v>46296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46296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46296</v>
      </c>
      <c r="F217" t="inlineStr">
        <is>
          <t>KALMAR LÄN</t>
        </is>
      </c>
      <c r="G217" t="inlineStr">
        <is>
          <t>TORSÅS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46296</v>
      </c>
      <c r="F218" t="inlineStr">
        <is>
          <t>KALMAR LÄN</t>
        </is>
      </c>
      <c r="G218" t="inlineStr">
        <is>
          <t>TORSÅS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46296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46296</v>
      </c>
      <c r="F220" t="inlineStr">
        <is>
          <t>KALMAR LÄN</t>
        </is>
      </c>
      <c r="G220" t="inlineStr">
        <is>
          <t>TORSÅS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26491-2022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44739</v>
      </c>
      <c r="E221" s="1" t="n">
        <v>46296</v>
      </c>
      <c r="F221" t="inlineStr">
        <is>
          <t>KALMAR LÄN</t>
        </is>
      </c>
      <c r="G221" t="inlineStr">
        <is>
          <t>TORSÅS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46296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45113</v>
      </c>
      <c r="E223" s="1" t="n">
        <v>46296</v>
      </c>
      <c r="F223" t="inlineStr">
        <is>
          <t>KALMAR LÄN</t>
        </is>
      </c>
      <c r="G223" t="inlineStr">
        <is>
          <t>TORSÅS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45330</v>
      </c>
      <c r="E224" s="1" t="n">
        <v>46296</v>
      </c>
      <c r="F224" t="inlineStr">
        <is>
          <t>KALMAR LÄN</t>
        </is>
      </c>
      <c r="G224" t="inlineStr">
        <is>
          <t>TORSÅS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46296</v>
      </c>
      <c r="F225" t="inlineStr">
        <is>
          <t>KALMAR LÄN</t>
        </is>
      </c>
      <c r="G225" t="inlineStr">
        <is>
          <t>TORSÅS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44679</v>
      </c>
      <c r="E226" s="1" t="n">
        <v>46296</v>
      </c>
      <c r="F226" t="inlineStr">
        <is>
          <t>KALMAR LÄN</t>
        </is>
      </c>
      <c r="G226" t="inlineStr">
        <is>
          <t>TORSÅS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34956-2024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45527</v>
      </c>
      <c r="E227" s="1" t="n">
        <v>46296</v>
      </c>
      <c r="F227" t="inlineStr">
        <is>
          <t>KALMAR LÄN</t>
        </is>
      </c>
      <c r="G227" t="inlineStr">
        <is>
          <t>TORSÅS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46296</v>
      </c>
      <c r="F228" t="inlineStr">
        <is>
          <t>KALMAR LÄN</t>
        </is>
      </c>
      <c r="G228" t="inlineStr">
        <is>
          <t>TORSÅS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46296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23776-2022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46296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15162-2023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45016</v>
      </c>
      <c r="E231" s="1" t="n">
        <v>46296</v>
      </c>
      <c r="F231" t="inlineStr">
        <is>
          <t>KALMAR LÄN</t>
        </is>
      </c>
      <c r="G231" t="inlineStr">
        <is>
          <t>TORSÅS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46296</v>
      </c>
      <c r="F232" t="inlineStr">
        <is>
          <t>KALMAR LÄN</t>
        </is>
      </c>
      <c r="G232" t="inlineStr">
        <is>
          <t>TORSÅS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44776</v>
      </c>
      <c r="E233" s="1" t="n">
        <v>46296</v>
      </c>
      <c r="F233" t="inlineStr">
        <is>
          <t>KALMAR LÄN</t>
        </is>
      </c>
      <c r="G233" t="inlineStr">
        <is>
          <t>TORSÅS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45001</v>
      </c>
      <c r="E234" s="1" t="n">
        <v>46296</v>
      </c>
      <c r="F234" t="inlineStr">
        <is>
          <t>KALMAR LÄN</t>
        </is>
      </c>
      <c r="G234" t="inlineStr">
        <is>
          <t>TORSÅS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45001</v>
      </c>
      <c r="E235" s="1" t="n">
        <v>46296</v>
      </c>
      <c r="F235" t="inlineStr">
        <is>
          <t>KALMAR LÄN</t>
        </is>
      </c>
      <c r="G235" t="inlineStr">
        <is>
          <t>TORSÅS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59284-2021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44490</v>
      </c>
      <c r="E236" s="1" t="n">
        <v>46296</v>
      </c>
      <c r="F236" t="inlineStr">
        <is>
          <t>KALMAR LÄN</t>
        </is>
      </c>
      <c r="G236" t="inlineStr">
        <is>
          <t>TORSÅS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46296</v>
      </c>
      <c r="F237" t="inlineStr">
        <is>
          <t>KALMAR LÄN</t>
        </is>
      </c>
      <c r="G237" t="inlineStr">
        <is>
          <t>TORSÅS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44977</v>
      </c>
      <c r="E238" s="1" t="n">
        <v>46296</v>
      </c>
      <c r="F238" t="inlineStr">
        <is>
          <t>KALMAR LÄN</t>
        </is>
      </c>
      <c r="G238" t="inlineStr">
        <is>
          <t>TORSÅS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44790</v>
      </c>
      <c r="E239" s="1" t="n">
        <v>46296</v>
      </c>
      <c r="F239" t="inlineStr">
        <is>
          <t>KALMAR LÄN</t>
        </is>
      </c>
      <c r="G239" t="inlineStr">
        <is>
          <t>TORSÅS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44683</v>
      </c>
      <c r="E240" s="1" t="n">
        <v>46296</v>
      </c>
      <c r="F240" t="inlineStr">
        <is>
          <t>KALMAR LÄN</t>
        </is>
      </c>
      <c r="G240" t="inlineStr">
        <is>
          <t>TORSÅS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44683</v>
      </c>
      <c r="E241" s="1" t="n">
        <v>46296</v>
      </c>
      <c r="F241" t="inlineStr">
        <is>
          <t>KALMAR LÄN</t>
        </is>
      </c>
      <c r="G241" t="inlineStr">
        <is>
          <t>TORSÅS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46296</v>
      </c>
      <c r="F242" t="inlineStr">
        <is>
          <t>KALMAR LÄN</t>
        </is>
      </c>
      <c r="G242" t="inlineStr">
        <is>
          <t>TORSÅS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46296</v>
      </c>
      <c r="F243" t="inlineStr">
        <is>
          <t>KALMAR LÄN</t>
        </is>
      </c>
      <c r="G243" t="inlineStr">
        <is>
          <t>TORSÅS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46296</v>
      </c>
      <c r="F244" t="inlineStr">
        <is>
          <t>KALMAR LÄN</t>
        </is>
      </c>
      <c r="G244" t="inlineStr">
        <is>
          <t>TORSÅS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46296</v>
      </c>
      <c r="F245" t="inlineStr">
        <is>
          <t>KALMAR LÄN</t>
        </is>
      </c>
      <c r="G245" t="inlineStr">
        <is>
          <t>TORSÅS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44879</v>
      </c>
      <c r="E246" s="1" t="n">
        <v>46296</v>
      </c>
      <c r="F246" t="inlineStr">
        <is>
          <t>KALMAR LÄN</t>
        </is>
      </c>
      <c r="G246" t="inlineStr">
        <is>
          <t>TORSÅS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46296</v>
      </c>
      <c r="F247" t="inlineStr">
        <is>
          <t>KALMAR LÄN</t>
        </is>
      </c>
      <c r="G247" t="inlineStr">
        <is>
          <t>TORSÅS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46296</v>
      </c>
      <c r="F248" t="inlineStr">
        <is>
          <t>KALMAR LÄN</t>
        </is>
      </c>
      <c r="G248" t="inlineStr">
        <is>
          <t>TORSÅS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46296</v>
      </c>
      <c r="F249" t="inlineStr">
        <is>
          <t>KALMAR LÄN</t>
        </is>
      </c>
      <c r="G249" t="inlineStr">
        <is>
          <t>TORSÅS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46296</v>
      </c>
      <c r="F250" t="inlineStr">
        <is>
          <t>KALMAR LÄN</t>
        </is>
      </c>
      <c r="G250" t="inlineStr">
        <is>
          <t>TORSÅS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46296</v>
      </c>
      <c r="F251" t="inlineStr">
        <is>
          <t>KALMAR LÄN</t>
        </is>
      </c>
      <c r="G251" t="inlineStr">
        <is>
          <t>TORSÅS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46296</v>
      </c>
      <c r="F252" t="inlineStr">
        <is>
          <t>KALMAR LÄN</t>
        </is>
      </c>
      <c r="G252" t="inlineStr">
        <is>
          <t>TORSÅS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44593</v>
      </c>
      <c r="E253" s="1" t="n">
        <v>46296</v>
      </c>
      <c r="F253" t="inlineStr">
        <is>
          <t>KALMAR LÄN</t>
        </is>
      </c>
      <c r="G253" t="inlineStr">
        <is>
          <t>TORSÅS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45551</v>
      </c>
      <c r="E254" s="1" t="n">
        <v>46296</v>
      </c>
      <c r="F254" t="inlineStr">
        <is>
          <t>KALMAR LÄN</t>
        </is>
      </c>
      <c r="G254" t="inlineStr">
        <is>
          <t>TORSÅS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45330</v>
      </c>
      <c r="E255" s="1" t="n">
        <v>46296</v>
      </c>
      <c r="F255" t="inlineStr">
        <is>
          <t>KALMAR LÄN</t>
        </is>
      </c>
      <c r="G255" t="inlineStr">
        <is>
          <t>TORSÅS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10472-2023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44987</v>
      </c>
      <c r="E256" s="1" t="n">
        <v>46296</v>
      </c>
      <c r="F256" t="inlineStr">
        <is>
          <t>KALMAR LÄN</t>
        </is>
      </c>
      <c r="G256" t="inlineStr">
        <is>
          <t>TORSÅS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45447</v>
      </c>
      <c r="E257" s="1" t="n">
        <v>46296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46296</v>
      </c>
      <c r="F258" t="inlineStr">
        <is>
          <t>KALMAR LÄN</t>
        </is>
      </c>
      <c r="G258" t="inlineStr">
        <is>
          <t>TORSÅS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45051</v>
      </c>
      <c r="E259" s="1" t="n">
        <v>46296</v>
      </c>
      <c r="F259" t="inlineStr">
        <is>
          <t>KALMAR LÄN</t>
        </is>
      </c>
      <c r="G259" t="inlineStr">
        <is>
          <t>TORSÅS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45672</v>
      </c>
      <c r="E260" s="1" t="n">
        <v>46296</v>
      </c>
      <c r="F260" t="inlineStr">
        <is>
          <t>KALMAR LÄN</t>
        </is>
      </c>
      <c r="G260" t="inlineStr">
        <is>
          <t>TORSÅS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46296</v>
      </c>
      <c r="F261" t="inlineStr">
        <is>
          <t>KALMAR LÄN</t>
        </is>
      </c>
      <c r="G261" t="inlineStr">
        <is>
          <t>TORSÅS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21577-2022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44706</v>
      </c>
      <c r="E262" s="1" t="n">
        <v>46296</v>
      </c>
      <c r="F262" t="inlineStr">
        <is>
          <t>KALMAR LÄN</t>
        </is>
      </c>
      <c r="G262" t="inlineStr">
        <is>
          <t>TORSÅS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46296</v>
      </c>
      <c r="F263" t="inlineStr">
        <is>
          <t>KALMAR LÄN</t>
        </is>
      </c>
      <c r="G263" t="inlineStr">
        <is>
          <t>TORSÅS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44942</v>
      </c>
      <c r="E264" s="1" t="n">
        <v>46296</v>
      </c>
      <c r="F264" t="inlineStr">
        <is>
          <t>KALMAR LÄN</t>
        </is>
      </c>
      <c r="G264" t="inlineStr">
        <is>
          <t>TORSÅS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46296</v>
      </c>
      <c r="F265" t="inlineStr">
        <is>
          <t>KALMAR LÄN</t>
        </is>
      </c>
      <c r="G265" t="inlineStr">
        <is>
          <t>TORSÅS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39728-2024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45552</v>
      </c>
      <c r="E266" s="1" t="n">
        <v>46296</v>
      </c>
      <c r="F266" t="inlineStr">
        <is>
          <t>KALMAR LÄN</t>
        </is>
      </c>
      <c r="G266" t="inlineStr">
        <is>
          <t>TORSÅS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46296</v>
      </c>
      <c r="F267" t="inlineStr">
        <is>
          <t>KALMAR LÄN</t>
        </is>
      </c>
      <c r="G267" t="inlineStr">
        <is>
          <t>TORSÅS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44998</v>
      </c>
      <c r="E268" s="1" t="n">
        <v>46296</v>
      </c>
      <c r="F268" t="inlineStr">
        <is>
          <t>KALMAR LÄN</t>
        </is>
      </c>
      <c r="G268" t="inlineStr">
        <is>
          <t>TORSÅS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45618</v>
      </c>
      <c r="E269" s="1" t="n">
        <v>46296</v>
      </c>
      <c r="F269" t="inlineStr">
        <is>
          <t>KALMAR LÄN</t>
        </is>
      </c>
      <c r="G269" t="inlineStr">
        <is>
          <t>TORSÅS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43066-2024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45567</v>
      </c>
      <c r="E270" s="1" t="n">
        <v>46296</v>
      </c>
      <c r="F270" t="inlineStr">
        <is>
          <t>KALMAR LÄN</t>
        </is>
      </c>
      <c r="G270" t="inlineStr">
        <is>
          <t>TORSÅS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51274-2023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46296</v>
      </c>
      <c r="F271" t="inlineStr">
        <is>
          <t>KALMAR LÄN</t>
        </is>
      </c>
      <c r="G271" t="inlineStr">
        <is>
          <t>TORSÅS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46296</v>
      </c>
      <c r="F272" t="inlineStr">
        <is>
          <t>KALMAR LÄN</t>
        </is>
      </c>
      <c r="G272" t="inlineStr">
        <is>
          <t>TORSÅS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45518</v>
      </c>
      <c r="E273" s="1" t="n">
        <v>46296</v>
      </c>
      <c r="F273" t="inlineStr">
        <is>
          <t>KALMAR LÄN</t>
        </is>
      </c>
      <c r="G273" t="inlineStr">
        <is>
          <t>TORSÅS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46296</v>
      </c>
      <c r="F274" t="inlineStr">
        <is>
          <t>KALMAR LÄN</t>
        </is>
      </c>
      <c r="G274" t="inlineStr">
        <is>
          <t>TORSÅS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46296</v>
      </c>
      <c r="F275" t="inlineStr">
        <is>
          <t>KALMAR LÄN</t>
        </is>
      </c>
      <c r="G275" t="inlineStr">
        <is>
          <t>TORSÅS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45222</v>
      </c>
      <c r="E276" s="1" t="n">
        <v>46296</v>
      </c>
      <c r="F276" t="inlineStr">
        <is>
          <t>KALMAR LÄN</t>
        </is>
      </c>
      <c r="G276" t="inlineStr">
        <is>
          <t>TORSÅS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45178</v>
      </c>
      <c r="E277" s="1" t="n">
        <v>46296</v>
      </c>
      <c r="F277" t="inlineStr">
        <is>
          <t>KALMAR LÄN</t>
        </is>
      </c>
      <c r="G277" t="inlineStr">
        <is>
          <t>TORSÅS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46296</v>
      </c>
      <c r="F278" t="inlineStr">
        <is>
          <t>KALMAR LÄN</t>
        </is>
      </c>
      <c r="G278" t="inlineStr">
        <is>
          <t>TORSÅS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46296</v>
      </c>
      <c r="F279" t="inlineStr">
        <is>
          <t>KALMAR LÄN</t>
        </is>
      </c>
      <c r="G279" t="inlineStr">
        <is>
          <t>TORSÅS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46296</v>
      </c>
      <c r="F280" t="inlineStr">
        <is>
          <t>KALMAR LÄN</t>
        </is>
      </c>
      <c r="G280" t="inlineStr">
        <is>
          <t>TORSÅS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46296</v>
      </c>
      <c r="F281" t="inlineStr">
        <is>
          <t>KALMAR LÄN</t>
        </is>
      </c>
      <c r="G281" t="inlineStr">
        <is>
          <t>TORSÅS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45132</v>
      </c>
      <c r="E282" s="1" t="n">
        <v>46296</v>
      </c>
      <c r="F282" t="inlineStr">
        <is>
          <t>KALMAR LÄN</t>
        </is>
      </c>
      <c r="G282" t="inlineStr">
        <is>
          <t>TORSÅS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45624</v>
      </c>
      <c r="E283" s="1" t="n">
        <v>46296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45329</v>
      </c>
      <c r="E284" s="1" t="n">
        <v>46296</v>
      </c>
      <c r="F284" t="inlineStr">
        <is>
          <t>KALMAR LÄN</t>
        </is>
      </c>
      <c r="G284" t="inlineStr">
        <is>
          <t>TORSÅS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44851</v>
      </c>
      <c r="E285" s="1" t="n">
        <v>46296</v>
      </c>
      <c r="F285" t="inlineStr">
        <is>
          <t>KALMAR LÄN</t>
        </is>
      </c>
      <c r="G285" t="inlineStr">
        <is>
          <t>TORSÅS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46296</v>
      </c>
      <c r="F286" t="inlineStr">
        <is>
          <t>KALMAR LÄN</t>
        </is>
      </c>
      <c r="G286" t="inlineStr">
        <is>
          <t>TORSÅS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38850-2023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46296</v>
      </c>
      <c r="F287" t="inlineStr">
        <is>
          <t>KALMAR LÄN</t>
        </is>
      </c>
      <c r="G287" t="inlineStr">
        <is>
          <t>TORSÅS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46296</v>
      </c>
      <c r="F288" t="inlineStr">
        <is>
          <t>KALMAR LÄN</t>
        </is>
      </c>
      <c r="G288" t="inlineStr">
        <is>
          <t>TORSÅS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66543-2021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44519</v>
      </c>
      <c r="E289" s="1" t="n">
        <v>46296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10704-2024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46296</v>
      </c>
      <c r="F290" t="inlineStr">
        <is>
          <t>KALMAR LÄN</t>
        </is>
      </c>
      <c r="G290" t="inlineStr">
        <is>
          <t>TORSÅS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45001</v>
      </c>
      <c r="E291" s="1" t="n">
        <v>46296</v>
      </c>
      <c r="F291" t="inlineStr">
        <is>
          <t>KALMAR LÄN</t>
        </is>
      </c>
      <c r="G291" t="inlineStr">
        <is>
          <t>TORSÅS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45001</v>
      </c>
      <c r="E292" s="1" t="n">
        <v>46296</v>
      </c>
      <c r="F292" t="inlineStr">
        <is>
          <t>KALMAR LÄN</t>
        </is>
      </c>
      <c r="G292" t="inlineStr">
        <is>
          <t>TORSÅS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46296</v>
      </c>
      <c r="F293" t="inlineStr">
        <is>
          <t>KALMAR LÄN</t>
        </is>
      </c>
      <c r="G293" t="inlineStr">
        <is>
          <t>TORSÅS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64348-2021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44511</v>
      </c>
      <c r="E294" s="1" t="n">
        <v>46296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45601</v>
      </c>
      <c r="E295" s="1" t="n">
        <v>46296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12591-2022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44640</v>
      </c>
      <c r="E296" s="1" t="n">
        <v>46296</v>
      </c>
      <c r="F296" t="inlineStr">
        <is>
          <t>KALMAR LÄN</t>
        </is>
      </c>
      <c r="G296" t="inlineStr">
        <is>
          <t>TORSÅS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46296</v>
      </c>
      <c r="F297" t="inlineStr">
        <is>
          <t>KALMAR LÄN</t>
        </is>
      </c>
      <c r="G297" t="inlineStr">
        <is>
          <t>TORSÅS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28945-2025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45820</v>
      </c>
      <c r="E298" s="1" t="n">
        <v>46296</v>
      </c>
      <c r="F298" t="inlineStr">
        <is>
          <t>KALMAR LÄN</t>
        </is>
      </c>
      <c r="G298" t="inlineStr">
        <is>
          <t>TORSÅS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45050</v>
      </c>
      <c r="E299" s="1" t="n">
        <v>46296</v>
      </c>
      <c r="F299" t="inlineStr">
        <is>
          <t>KALMAR LÄN</t>
        </is>
      </c>
      <c r="G299" t="inlineStr">
        <is>
          <t>TORSÅS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46296</v>
      </c>
      <c r="F300" t="inlineStr">
        <is>
          <t>KALMAR LÄN</t>
        </is>
      </c>
      <c r="G300" t="inlineStr">
        <is>
          <t>TORSÅS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18718-2024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45426</v>
      </c>
      <c r="E301" s="1" t="n">
        <v>46296</v>
      </c>
      <c r="F301" t="inlineStr">
        <is>
          <t>KALMAR LÄN</t>
        </is>
      </c>
      <c r="G301" t="inlineStr">
        <is>
          <t>TORSÅS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46296</v>
      </c>
      <c r="F302" t="inlineStr">
        <is>
          <t>KALMAR LÄN</t>
        </is>
      </c>
      <c r="G302" t="inlineStr">
        <is>
          <t>TORSÅS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45012</v>
      </c>
      <c r="E303" s="1" t="n">
        <v>46296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46296</v>
      </c>
      <c r="F304" t="inlineStr">
        <is>
          <t>KALMAR LÄN</t>
        </is>
      </c>
      <c r="G304" t="inlineStr">
        <is>
          <t>TORSÅS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19943-2023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45054</v>
      </c>
      <c r="E305" s="1" t="n">
        <v>46296</v>
      </c>
      <c r="F305" t="inlineStr">
        <is>
          <t>KALMAR LÄN</t>
        </is>
      </c>
      <c r="G305" t="inlineStr">
        <is>
          <t>TORSÅS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44839-2022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44841</v>
      </c>
      <c r="E306" s="1" t="n">
        <v>46296</v>
      </c>
      <c r="F306" t="inlineStr">
        <is>
          <t>KALMAR LÄN</t>
        </is>
      </c>
      <c r="G306" t="inlineStr">
        <is>
          <t>TORSÅS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46296</v>
      </c>
      <c r="F307" t="inlineStr">
        <is>
          <t>KALMAR LÄN</t>
        </is>
      </c>
      <c r="G307" t="inlineStr">
        <is>
          <t>TORSÅS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45716</v>
      </c>
      <c r="E308" s="1" t="n">
        <v>46296</v>
      </c>
      <c r="F308" t="inlineStr">
        <is>
          <t>KALMAR LÄN</t>
        </is>
      </c>
      <c r="G308" t="inlineStr">
        <is>
          <t>TORSÅS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46296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45690-2023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46296</v>
      </c>
      <c r="F310" t="inlineStr">
        <is>
          <t>KALMAR LÄN</t>
        </is>
      </c>
      <c r="G310" t="inlineStr">
        <is>
          <t>TORSÅS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46296</v>
      </c>
      <c r="F311" t="inlineStr">
        <is>
          <t>KALMAR LÄN</t>
        </is>
      </c>
      <c r="G311" t="inlineStr">
        <is>
          <t>TORSÅS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46296</v>
      </c>
      <c r="F312" t="inlineStr">
        <is>
          <t>KALMAR LÄN</t>
        </is>
      </c>
      <c r="G312" t="inlineStr">
        <is>
          <t>TORSÅS</t>
        </is>
      </c>
      <c r="H312" t="inlineStr">
        <is>
          <t>Kommuner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44495</v>
      </c>
      <c r="E313" s="1" t="n">
        <v>46296</v>
      </c>
      <c r="F313" t="inlineStr">
        <is>
          <t>KALMAR LÄN</t>
        </is>
      </c>
      <c r="G313" t="inlineStr">
        <is>
          <t>TORSÅS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52072-2023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45223</v>
      </c>
      <c r="E314" s="1" t="n">
        <v>46296</v>
      </c>
      <c r="F314" t="inlineStr">
        <is>
          <t>KALMAR LÄN</t>
        </is>
      </c>
      <c r="G314" t="inlineStr">
        <is>
          <t>TORSÅS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46296</v>
      </c>
      <c r="F315" t="inlineStr">
        <is>
          <t>KALMAR LÄN</t>
        </is>
      </c>
      <c r="G315" t="inlineStr">
        <is>
          <t>TORSÅS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46296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46296</v>
      </c>
      <c r="F317" t="inlineStr">
        <is>
          <t>KALMAR LÄN</t>
        </is>
      </c>
      <c r="G317" t="inlineStr">
        <is>
          <t>TORSÅS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45208</v>
      </c>
      <c r="E318" s="1" t="n">
        <v>46296</v>
      </c>
      <c r="F318" t="inlineStr">
        <is>
          <t>KALMAR LÄN</t>
        </is>
      </c>
      <c r="G318" t="inlineStr">
        <is>
          <t>TORSÅS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64373-2023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45280</v>
      </c>
      <c r="E319" s="1" t="n">
        <v>46296</v>
      </c>
      <c r="F319" t="inlineStr">
        <is>
          <t>KALMAR LÄN</t>
        </is>
      </c>
      <c r="G319" t="inlineStr">
        <is>
          <t>TORSÅS</t>
        </is>
      </c>
      <c r="I319" t="n">
        <v>19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32525-2024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45513</v>
      </c>
      <c r="E320" s="1" t="n">
        <v>46296</v>
      </c>
      <c r="F320" t="inlineStr">
        <is>
          <t>KALMAR LÄN</t>
        </is>
      </c>
      <c r="G320" t="inlineStr">
        <is>
          <t>TORSÅS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32532-2024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45513</v>
      </c>
      <c r="E321" s="1" t="n">
        <v>46296</v>
      </c>
      <c r="F321" t="inlineStr">
        <is>
          <t>KALMAR LÄN</t>
        </is>
      </c>
      <c r="G321" t="inlineStr">
        <is>
          <t>TORSÅS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45040</v>
      </c>
      <c r="E322" s="1" t="n">
        <v>46296</v>
      </c>
      <c r="F322" t="inlineStr">
        <is>
          <t>KALMAR LÄN</t>
        </is>
      </c>
      <c r="G322" t="inlineStr">
        <is>
          <t>TORSÅS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46296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65155-2023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45288</v>
      </c>
      <c r="E324" s="1" t="n">
        <v>46296</v>
      </c>
      <c r="F324" t="inlineStr">
        <is>
          <t>KALMAR LÄN</t>
        </is>
      </c>
      <c r="G324" t="inlineStr">
        <is>
          <t>TORSÅS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45182</v>
      </c>
      <c r="E325" s="1" t="n">
        <v>46296</v>
      </c>
      <c r="F325" t="inlineStr">
        <is>
          <t>KALMAR LÄN</t>
        </is>
      </c>
      <c r="G325" t="inlineStr">
        <is>
          <t>TORSÅS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46296</v>
      </c>
      <c r="F326" t="inlineStr">
        <is>
          <t>KALMAR LÄN</t>
        </is>
      </c>
      <c r="G326" t="inlineStr">
        <is>
          <t>TORSÅS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46296</v>
      </c>
      <c r="F327" t="inlineStr">
        <is>
          <t>KALMAR LÄN</t>
        </is>
      </c>
      <c r="G327" t="inlineStr">
        <is>
          <t>TORSÅS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45058</v>
      </c>
      <c r="E328" s="1" t="n">
        <v>46296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45404</v>
      </c>
      <c r="E329" s="1" t="n">
        <v>46296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46296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45869</v>
      </c>
      <c r="E331" s="1" t="n">
        <v>46296</v>
      </c>
      <c r="F331" t="inlineStr">
        <is>
          <t>KALMAR LÄN</t>
        </is>
      </c>
      <c r="G331" t="inlineStr">
        <is>
          <t>TORSÅS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45869</v>
      </c>
      <c r="E332" s="1" t="n">
        <v>46296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51771-2023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46296</v>
      </c>
      <c r="F333" t="inlineStr">
        <is>
          <t>KALMAR LÄN</t>
        </is>
      </c>
      <c r="G333" t="inlineStr">
        <is>
          <t>TORSÅS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46296</v>
      </c>
      <c r="F334" t="inlineStr">
        <is>
          <t>KALMAR LÄN</t>
        </is>
      </c>
      <c r="G334" t="inlineStr">
        <is>
          <t>TORSÅS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46296</v>
      </c>
      <c r="F335" t="inlineStr">
        <is>
          <t>KALMAR LÄN</t>
        </is>
      </c>
      <c r="G335" t="inlineStr">
        <is>
          <t>TORSÅS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45407</v>
      </c>
      <c r="E336" s="1" t="n">
        <v>46296</v>
      </c>
      <c r="F336" t="inlineStr">
        <is>
          <t>KALMAR LÄN</t>
        </is>
      </c>
      <c r="G336" t="inlineStr">
        <is>
          <t>TORSÅS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45330</v>
      </c>
      <c r="E337" s="1" t="n">
        <v>46296</v>
      </c>
      <c r="F337" t="inlineStr">
        <is>
          <t>KALMAR LÄN</t>
        </is>
      </c>
      <c r="G337" t="inlineStr">
        <is>
          <t>TORSÅS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49330-2022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44861</v>
      </c>
      <c r="E338" s="1" t="n">
        <v>46296</v>
      </c>
      <c r="F338" t="inlineStr">
        <is>
          <t>KALMAR LÄN</t>
        </is>
      </c>
      <c r="G338" t="inlineStr">
        <is>
          <t>TORSÅS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21604-2023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46296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65651-2021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44516</v>
      </c>
      <c r="E340" s="1" t="n">
        <v>46296</v>
      </c>
      <c r="F340" t="inlineStr">
        <is>
          <t>KALMAR LÄN</t>
        </is>
      </c>
      <c r="G340" t="inlineStr">
        <is>
          <t>TORSÅS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46296</v>
      </c>
      <c r="F341" t="inlineStr">
        <is>
          <t>KALMAR LÄN</t>
        </is>
      </c>
      <c r="G341" t="inlineStr">
        <is>
          <t>TORSÅS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46296</v>
      </c>
      <c r="F342" t="inlineStr">
        <is>
          <t>KALMAR LÄN</t>
        </is>
      </c>
      <c r="G342" t="inlineStr">
        <is>
          <t>TORSÅS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45713</v>
      </c>
      <c r="E343" s="1" t="n">
        <v>46296</v>
      </c>
      <c r="F343" t="inlineStr">
        <is>
          <t>KALMAR LÄN</t>
        </is>
      </c>
      <c r="G343" t="inlineStr">
        <is>
          <t>TORSÅS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37626-2025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45880</v>
      </c>
      <c r="E344" s="1" t="n">
        <v>46296</v>
      </c>
      <c r="F344" t="inlineStr">
        <is>
          <t>KALMAR LÄN</t>
        </is>
      </c>
      <c r="G344" t="inlineStr">
        <is>
          <t>TORSÅS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51022-2025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46296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50962-2025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46296</v>
      </c>
      <c r="F346" t="inlineStr">
        <is>
          <t>KALMAR LÄN</t>
        </is>
      </c>
      <c r="G346" t="inlineStr">
        <is>
          <t>TORSÅS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46296</v>
      </c>
      <c r="F347" t="inlineStr">
        <is>
          <t>KALMAR LÄN</t>
        </is>
      </c>
      <c r="G347" t="inlineStr">
        <is>
          <t>TORSÅS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46296</v>
      </c>
      <c r="F348" t="inlineStr">
        <is>
          <t>KALMAR LÄN</t>
        </is>
      </c>
      <c r="G348" t="inlineStr">
        <is>
          <t>TORSÅS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46296</v>
      </c>
      <c r="F349" t="inlineStr">
        <is>
          <t>KALMAR LÄN</t>
        </is>
      </c>
      <c r="G349" t="inlineStr">
        <is>
          <t>TORSÅS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45916</v>
      </c>
      <c r="E350" s="1" t="n">
        <v>46296</v>
      </c>
      <c r="F350" t="inlineStr">
        <is>
          <t>KALMAR LÄN</t>
        </is>
      </c>
      <c r="G350" t="inlineStr">
        <is>
          <t>TORSÅS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44712-2025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46296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44705-2025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46296</v>
      </c>
      <c r="F352" t="inlineStr">
        <is>
          <t>KALMAR LÄN</t>
        </is>
      </c>
      <c r="G352" t="inlineStr">
        <is>
          <t>TORSÅS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45917</v>
      </c>
      <c r="E353" s="1" t="n">
        <v>46296</v>
      </c>
      <c r="F353" t="inlineStr">
        <is>
          <t>KALMAR LÄN</t>
        </is>
      </c>
      <c r="G353" t="inlineStr">
        <is>
          <t>TORSÅS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46296</v>
      </c>
      <c r="F354" t="inlineStr">
        <is>
          <t>KALMAR LÄN</t>
        </is>
      </c>
      <c r="G354" t="inlineStr">
        <is>
          <t>TORSÅS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54836-2025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46296</v>
      </c>
      <c r="F355" t="inlineStr">
        <is>
          <t>KALMAR LÄN</t>
        </is>
      </c>
      <c r="G355" t="inlineStr">
        <is>
          <t>TORSÅS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46296</v>
      </c>
      <c r="F356" t="inlineStr">
        <is>
          <t>KALMAR LÄN</t>
        </is>
      </c>
      <c r="G356" t="inlineStr">
        <is>
          <t>TORSÅS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46296</v>
      </c>
      <c r="F357" t="inlineStr">
        <is>
          <t>KALMAR LÄN</t>
        </is>
      </c>
      <c r="G357" t="inlineStr">
        <is>
          <t>TORSÅS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46296</v>
      </c>
      <c r="F358" t="inlineStr">
        <is>
          <t>KALMAR LÄN</t>
        </is>
      </c>
      <c r="G358" t="inlineStr">
        <is>
          <t>TORSÅS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59130-2025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45988</v>
      </c>
      <c r="E359" s="1" t="n">
        <v>46296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46001</v>
      </c>
      <c r="E360" s="1" t="n">
        <v>46296</v>
      </c>
      <c r="F360" t="inlineStr">
        <is>
          <t>KALMAR LÄN</t>
        </is>
      </c>
      <c r="G360" t="inlineStr">
        <is>
          <t>TORSÅS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61409-2025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46001</v>
      </c>
      <c r="E361" s="1" t="n">
        <v>46296</v>
      </c>
      <c r="F361" t="inlineStr">
        <is>
          <t>KALMAR LÄN</t>
        </is>
      </c>
      <c r="G361" t="inlineStr">
        <is>
          <t>TORSÅS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22894-2025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45790</v>
      </c>
      <c r="E362" s="1" t="n">
        <v>46296</v>
      </c>
      <c r="F362" t="inlineStr">
        <is>
          <t>KALMAR LÄN</t>
        </is>
      </c>
      <c r="G362" t="inlineStr">
        <is>
          <t>TORSÅS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46296</v>
      </c>
      <c r="F363" t="inlineStr">
        <is>
          <t>KALMAR LÄN</t>
        </is>
      </c>
      <c r="G363" t="inlineStr">
        <is>
          <t>TORSÅS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46296</v>
      </c>
      <c r="F364" t="inlineStr">
        <is>
          <t>KALMAR LÄN</t>
        </is>
      </c>
      <c r="G364" t="inlineStr">
        <is>
          <t>TORSÅS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46296</v>
      </c>
      <c r="F365" t="inlineStr">
        <is>
          <t>KALMAR LÄN</t>
        </is>
      </c>
      <c r="G365" t="inlineStr">
        <is>
          <t>TORSÅS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46296</v>
      </c>
      <c r="F366" t="inlineStr">
        <is>
          <t>KALMAR LÄN</t>
        </is>
      </c>
      <c r="G366" t="inlineStr">
        <is>
          <t>TORSÅS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46296</v>
      </c>
      <c r="F367" t="inlineStr">
        <is>
          <t>KALMAR LÄN</t>
        </is>
      </c>
      <c r="G367" t="inlineStr">
        <is>
          <t>TORSÅS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11575-2026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46296</v>
      </c>
      <c r="F368" t="inlineStr">
        <is>
          <t>KALMAR LÄN</t>
        </is>
      </c>
      <c r="G368" t="inlineStr">
        <is>
          <t>TORSÅS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46090</v>
      </c>
      <c r="E369" s="1" t="n">
        <v>46296</v>
      </c>
      <c r="F369" t="inlineStr">
        <is>
          <t>KALMAR LÄN</t>
        </is>
      </c>
      <c r="G369" t="inlineStr">
        <is>
          <t>TORSÅS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46296</v>
      </c>
      <c r="F370" t="inlineStr">
        <is>
          <t>KALMAR LÄN</t>
        </is>
      </c>
      <c r="G370" t="inlineStr">
        <is>
          <t>TORSÅS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46296</v>
      </c>
      <c r="F371" t="inlineStr">
        <is>
          <t>KALMAR LÄN</t>
        </is>
      </c>
      <c r="G371" t="inlineStr">
        <is>
          <t>TORSÅS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46296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15421-2026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46296</v>
      </c>
      <c r="F373" t="inlineStr">
        <is>
          <t>KALMAR LÄN</t>
        </is>
      </c>
      <c r="G373" t="inlineStr">
        <is>
          <t>TORSÅS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46296</v>
      </c>
      <c r="F374" t="inlineStr">
        <is>
          <t>KALMAR LÄN</t>
        </is>
      </c>
      <c r="G374" t="inlineStr">
        <is>
          <t>TORSÅS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16834-2026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46296</v>
      </c>
      <c r="F375" t="inlineStr">
        <is>
          <t>KALMAR LÄN</t>
        </is>
      </c>
      <c r="G375" t="inlineStr">
        <is>
          <t>TORSÅS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45425</v>
      </c>
      <c r="E376" s="1" t="n">
        <v>46296</v>
      </c>
      <c r="F376" t="inlineStr">
        <is>
          <t>KALMAR LÄN</t>
        </is>
      </c>
      <c r="G376" t="inlineStr">
        <is>
          <t>TORSÅS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45838</v>
      </c>
      <c r="E377" s="1" t="n">
        <v>46296</v>
      </c>
      <c r="F377" t="inlineStr">
        <is>
          <t>KALMAR LÄN</t>
        </is>
      </c>
      <c r="G377" t="inlineStr">
        <is>
          <t>TORSÅS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46296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46296</v>
      </c>
      <c r="F379" t="inlineStr">
        <is>
          <t>KALMAR LÄN</t>
        </is>
      </c>
      <c r="G379" t="inlineStr">
        <is>
          <t>TORSÅS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46066</v>
      </c>
      <c r="E380" s="1" t="n">
        <v>46296</v>
      </c>
      <c r="F380" t="inlineStr">
        <is>
          <t>KALMAR LÄN</t>
        </is>
      </c>
      <c r="G380" t="inlineStr">
        <is>
          <t>TORSÅS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46296</v>
      </c>
      <c r="F381" t="inlineStr">
        <is>
          <t>KALMAR LÄN</t>
        </is>
      </c>
      <c r="G381" t="inlineStr">
        <is>
          <t>TORSÅS</t>
        </is>
      </c>
      <c r="I381" t="n">
        <v>15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47312-2025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46296</v>
      </c>
      <c r="F382" t="inlineStr">
        <is>
          <t>KALMAR LÄN</t>
        </is>
      </c>
      <c r="G382" t="inlineStr">
        <is>
          <t>TORSÅS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21192-2026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46296</v>
      </c>
      <c r="F383" t="inlineStr">
        <is>
          <t>KALMAR LÄN</t>
        </is>
      </c>
      <c r="G383" t="inlineStr">
        <is>
          <t>TORSÅS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46296</v>
      </c>
      <c r="F384" t="inlineStr">
        <is>
          <t>KALMAR LÄN</t>
        </is>
      </c>
      <c r="G384" t="inlineStr">
        <is>
          <t>TORSÅS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46296</v>
      </c>
      <c r="F385" t="inlineStr">
        <is>
          <t>KALMAR LÄN</t>
        </is>
      </c>
      <c r="G385" t="inlineStr">
        <is>
          <t>TORSÅS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46296</v>
      </c>
      <c r="F386" t="inlineStr">
        <is>
          <t>KALMAR LÄN</t>
        </is>
      </c>
      <c r="G386" t="inlineStr">
        <is>
          <t>TORSÅS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46296</v>
      </c>
      <c r="F387" t="inlineStr">
        <is>
          <t>KALMAR LÄN</t>
        </is>
      </c>
      <c r="G387" t="inlineStr">
        <is>
          <t>TORSÅS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65157-2023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45288</v>
      </c>
      <c r="E388" s="1" t="n">
        <v>46296</v>
      </c>
      <c r="F388" t="inlineStr">
        <is>
          <t>KALMAR LÄN</t>
        </is>
      </c>
      <c r="G388" t="inlineStr">
        <is>
          <t>TORSÅS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44984</v>
      </c>
      <c r="E389" s="1" t="n">
        <v>46296</v>
      </c>
      <c r="F389" t="inlineStr">
        <is>
          <t>KALMAR LÄN</t>
        </is>
      </c>
      <c r="G389" t="inlineStr">
        <is>
          <t>TORSÅS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46296</v>
      </c>
      <c r="F390" t="inlineStr">
        <is>
          <t>KALMAR LÄN</t>
        </is>
      </c>
      <c r="G390" t="inlineStr">
        <is>
          <t>TORSÅS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46296</v>
      </c>
      <c r="F391" t="inlineStr">
        <is>
          <t>KALMAR LÄN</t>
        </is>
      </c>
      <c r="G391" t="inlineStr">
        <is>
          <t>TORSÅS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46296</v>
      </c>
      <c r="F392" t="inlineStr">
        <is>
          <t>KALMAR LÄN</t>
        </is>
      </c>
      <c r="G392" t="inlineStr">
        <is>
          <t>TORSÅS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25072-2026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46174</v>
      </c>
      <c r="E393" s="1" t="n">
        <v>46296</v>
      </c>
      <c r="F393" t="inlineStr">
        <is>
          <t>KALMAR LÄN</t>
        </is>
      </c>
      <c r="G393" t="inlineStr">
        <is>
          <t>TORSÅS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46296</v>
      </c>
      <c r="F394" t="inlineStr">
        <is>
          <t>KALMAR LÄN</t>
        </is>
      </c>
      <c r="G394" t="inlineStr">
        <is>
          <t>TORSÅS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46296</v>
      </c>
      <c r="F395" t="inlineStr">
        <is>
          <t>KALMAR LÄN</t>
        </is>
      </c>
      <c r="G395" t="inlineStr">
        <is>
          <t>TORSÅS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46119</v>
      </c>
      <c r="E396" s="1" t="n">
        <v>46296</v>
      </c>
      <c r="F396" t="inlineStr">
        <is>
          <t>KALMAR LÄN</t>
        </is>
      </c>
      <c r="G396" t="inlineStr">
        <is>
          <t>TORSÅS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46296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45253</v>
      </c>
      <c r="E398" s="1" t="n">
        <v>46296</v>
      </c>
      <c r="F398" t="inlineStr">
        <is>
          <t>KALMAR LÄN</t>
        </is>
      </c>
      <c r="G398" t="inlineStr">
        <is>
          <t>TORSÅS</t>
        </is>
      </c>
      <c r="I398" t="n">
        <v>12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46255</v>
      </c>
      <c r="E399" s="1" t="n">
        <v>46296</v>
      </c>
      <c r="F399" t="inlineStr">
        <is>
          <t>KALMAR LÄN</t>
        </is>
      </c>
      <c r="G399" t="inlineStr">
        <is>
          <t>TORSÅS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34633-2026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46255</v>
      </c>
      <c r="E400" s="1" t="n">
        <v>46296</v>
      </c>
      <c r="F400" t="inlineStr">
        <is>
          <t>KALMAR LÄN</t>
        </is>
      </c>
      <c r="G400" t="inlineStr">
        <is>
          <t>TORSÅS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46296</v>
      </c>
      <c r="F401" t="inlineStr">
        <is>
          <t>KALMAR LÄN</t>
        </is>
      </c>
      <c r="G401" t="inlineStr">
        <is>
          <t>TORSÅS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46260</v>
      </c>
      <c r="E402" s="1" t="n">
        <v>46296</v>
      </c>
      <c r="F402" t="inlineStr">
        <is>
          <t>KALMAR LÄN</t>
        </is>
      </c>
      <c r="G402" t="inlineStr">
        <is>
          <t>TORSÅS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31228-2026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46217</v>
      </c>
      <c r="E403" s="1" t="n">
        <v>46296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46218</v>
      </c>
      <c r="E404" s="1" t="n">
        <v>46296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46218</v>
      </c>
      <c r="E405" s="1" t="n">
        <v>46296</v>
      </c>
      <c r="F405" t="inlineStr">
        <is>
          <t>KALMAR LÄN</t>
        </is>
      </c>
      <c r="G405" t="inlineStr">
        <is>
          <t>TORSÅS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46296</v>
      </c>
      <c r="F406" t="inlineStr">
        <is>
          <t>KALMAR LÄN</t>
        </is>
      </c>
      <c r="G406" t="inlineStr">
        <is>
          <t>TORSÅS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35725-2026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46265</v>
      </c>
      <c r="E407" s="1" t="n">
        <v>46296</v>
      </c>
      <c r="F407" t="inlineStr">
        <is>
          <t>KALMAR LÄN</t>
        </is>
      </c>
      <c r="G407" t="inlineStr">
        <is>
          <t>TORSÅS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46265</v>
      </c>
      <c r="E408" s="1" t="n">
        <v>46296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45977</v>
      </c>
      <c r="E409" s="1" t="n">
        <v>46296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46268</v>
      </c>
      <c r="E410" s="1" t="n">
        <v>46296</v>
      </c>
      <c r="F410" t="inlineStr">
        <is>
          <t>KALMAR LÄN</t>
        </is>
      </c>
      <c r="G410" t="inlineStr">
        <is>
          <t>TORSÅS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46268</v>
      </c>
      <c r="E411" s="1" t="n">
        <v>46296</v>
      </c>
      <c r="F411" t="inlineStr">
        <is>
          <t>KALMAR LÄN</t>
        </is>
      </c>
      <c r="G411" t="inlineStr">
        <is>
          <t>TORSÅS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46272</v>
      </c>
      <c r="E412" s="1" t="n">
        <v>46296</v>
      </c>
      <c r="F412" t="inlineStr">
        <is>
          <t>KALMAR LÄN</t>
        </is>
      </c>
      <c r="G412" t="inlineStr">
        <is>
          <t>TORSÅS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46278</v>
      </c>
      <c r="E413" s="1" t="n">
        <v>46296</v>
      </c>
      <c r="F413" t="inlineStr">
        <is>
          <t>KALMAR LÄN</t>
        </is>
      </c>
      <c r="G413" t="inlineStr">
        <is>
          <t>TORSÅS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46280</v>
      </c>
      <c r="E414" s="1" t="n">
        <v>46296</v>
      </c>
      <c r="F414" t="inlineStr">
        <is>
          <t>KALMAR LÄN</t>
        </is>
      </c>
      <c r="G414" t="inlineStr">
        <is>
          <t>TORSÅS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38807-2026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46296</v>
      </c>
      <c r="F415" t="inlineStr">
        <is>
          <t>KALMAR LÄN</t>
        </is>
      </c>
      <c r="G415" t="inlineStr">
        <is>
          <t>TORSÅS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33244-2026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46246</v>
      </c>
      <c r="E416" s="1" t="n">
        <v>46296</v>
      </c>
      <c r="F416" t="inlineStr">
        <is>
          <t>KALMAR LÄN</t>
        </is>
      </c>
      <c r="G416" t="inlineStr">
        <is>
          <t>TORSÅS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45982</v>
      </c>
      <c r="E417" s="1" t="n">
        <v>46296</v>
      </c>
      <c r="F417" t="inlineStr">
        <is>
          <t>KALMAR LÄN</t>
        </is>
      </c>
      <c r="G417" t="inlineStr">
        <is>
          <t>TORSÅS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46293</v>
      </c>
      <c r="E418" s="1" t="n">
        <v>46296</v>
      </c>
      <c r="F418" t="inlineStr">
        <is>
          <t>KALMAR LÄN</t>
        </is>
      </c>
      <c r="G418" t="inlineStr">
        <is>
          <t>TORSÅS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46296</v>
      </c>
      <c r="F419" t="inlineStr">
        <is>
          <t>KALMAR LÄN</t>
        </is>
      </c>
      <c r="G419" t="inlineStr">
        <is>
          <t>TORSÅS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46296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46296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46296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46296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46296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46296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46296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46296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46296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46296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46296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46296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46296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46296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46296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46296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46296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46296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46296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46296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46296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46296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46296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2026-10-01T02:01:26Z</dcterms:created>
  <dcterms:modified xmlns:dcterms="http://purl.org/dc/terms/" xmlns:xsi="http://www.w3.org/2001/XMLSchema-instance" xsi:type="dcterms:W3CDTF">2026-10-01T02:01:27Z</dcterms:modified>
</cp:coreProperties>
</file>