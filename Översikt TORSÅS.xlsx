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45681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45681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45681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45681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45681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45681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45681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45681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45681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45681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45681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45681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45681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45681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45681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45681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45681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45681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39297-2024</t>
        </is>
      </c>
      <c r="B20" s="1" t="n">
        <v>45551</v>
      </c>
      <c r="C20" s="1" t="n">
        <v>45681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brunfladdermus
Vattenfladdermus</t>
        </is>
      </c>
      <c r="S20">
        <f>HYPERLINK("https://klasma.github.io/Logging_0834/artfynd/A 39297-2024 artfynd.xlsx", "A 39297-2024")</f>
        <v/>
      </c>
      <c r="T20">
        <f>HYPERLINK("https://klasma.github.io/Logging_0834/kartor/A 39297-2024 karta.png", "A 39297-2024")</f>
        <v/>
      </c>
      <c r="V20">
        <f>HYPERLINK("https://klasma.github.io/Logging_0834/klagomål/A 39297-2024 FSC-klagomål.docx", "A 39297-2024")</f>
        <v/>
      </c>
      <c r="W20">
        <f>HYPERLINK("https://klasma.github.io/Logging_0834/klagomålsmail/A 39297-2024 FSC-klagomål mail.docx", "A 39297-2024")</f>
        <v/>
      </c>
      <c r="X20">
        <f>HYPERLINK("https://klasma.github.io/Logging_0834/tillsyn/A 39297-2024 tillsynsbegäran.docx", "A 39297-2024")</f>
        <v/>
      </c>
      <c r="Y20">
        <f>HYPERLINK("https://klasma.github.io/Logging_0834/tillsynsmail/A 39297-2024 tillsynsbegäran mail.docx", "A 39297-2024")</f>
        <v/>
      </c>
    </row>
    <row r="21" ht="15" customHeight="1">
      <c r="A21" t="inlineStr">
        <is>
          <t>A 21143-2019</t>
        </is>
      </c>
      <c r="B21" s="1" t="n">
        <v>43579</v>
      </c>
      <c r="C21" s="1" t="n">
        <v>45681</v>
      </c>
      <c r="D21" t="inlineStr">
        <is>
          <t>KALMAR LÄN</t>
        </is>
      </c>
      <c r="E21" t="inlineStr">
        <is>
          <t>TORSÅS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21143-2019 artfynd.xlsx", "A 21143-2019")</f>
        <v/>
      </c>
      <c r="T21">
        <f>HYPERLINK("https://klasma.github.io/Logging_0834/kartor/A 21143-2019 karta.png", "A 21143-2019")</f>
        <v/>
      </c>
      <c r="V21">
        <f>HYPERLINK("https://klasma.github.io/Logging_0834/klagomål/A 21143-2019 FSC-klagomål.docx", "A 21143-2019")</f>
        <v/>
      </c>
      <c r="W21">
        <f>HYPERLINK("https://klasma.github.io/Logging_0834/klagomålsmail/A 21143-2019 FSC-klagomål mail.docx", "A 21143-2019")</f>
        <v/>
      </c>
      <c r="X21">
        <f>HYPERLINK("https://klasma.github.io/Logging_0834/tillsyn/A 21143-2019 tillsynsbegäran.docx", "A 21143-2019")</f>
        <v/>
      </c>
      <c r="Y21">
        <f>HYPERLINK("https://klasma.github.io/Logging_0834/tillsynsmail/A 21143-2019 tillsynsbegäran mail.docx", "A 21143-2019")</f>
        <v/>
      </c>
    </row>
    <row r="22" ht="15" customHeight="1">
      <c r="A22" t="inlineStr">
        <is>
          <t>A 36218-2019</t>
        </is>
      </c>
      <c r="B22" s="1" t="n">
        <v>43669</v>
      </c>
      <c r="C22" s="1" t="n">
        <v>45681</v>
      </c>
      <c r="D22" t="inlineStr">
        <is>
          <t>KALMAR LÄN</t>
        </is>
      </c>
      <c r="E22" t="inlineStr">
        <is>
          <t>TORSÅS</t>
        </is>
      </c>
      <c r="G22" t="n">
        <v>15.5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Rödlånke</t>
        </is>
      </c>
      <c r="S22">
        <f>HYPERLINK("https://klasma.github.io/Logging_0834/artfynd/A 36218-2019 artfynd.xlsx", "A 36218-2019")</f>
        <v/>
      </c>
      <c r="T22">
        <f>HYPERLINK("https://klasma.github.io/Logging_0834/kartor/A 36218-2019 karta.png", "A 36218-2019")</f>
        <v/>
      </c>
      <c r="V22">
        <f>HYPERLINK("https://klasma.github.io/Logging_0834/klagomål/A 36218-2019 FSC-klagomål.docx", "A 36218-2019")</f>
        <v/>
      </c>
      <c r="W22">
        <f>HYPERLINK("https://klasma.github.io/Logging_0834/klagomålsmail/A 36218-2019 FSC-klagomål mail.docx", "A 36218-2019")</f>
        <v/>
      </c>
      <c r="X22">
        <f>HYPERLINK("https://klasma.github.io/Logging_0834/tillsyn/A 36218-2019 tillsynsbegäran.docx", "A 36218-2019")</f>
        <v/>
      </c>
      <c r="Y22">
        <f>HYPERLINK("https://klasma.github.io/Logging_0834/tillsynsmail/A 36218-2019 tillsynsbegäran mail.docx", "A 36218-2019")</f>
        <v/>
      </c>
    </row>
    <row r="23" ht="15" customHeight="1">
      <c r="A23" t="inlineStr">
        <is>
          <t>A 37689-2019</t>
        </is>
      </c>
      <c r="B23" s="1" t="n">
        <v>43682</v>
      </c>
      <c r="C23" s="1" t="n">
        <v>45681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Sumpviol</t>
        </is>
      </c>
      <c r="S23">
        <f>HYPERLINK("https://klasma.github.io/Logging_0834/artfynd/A 37689-2019 artfynd.xlsx", "A 37689-2019")</f>
        <v/>
      </c>
      <c r="T23">
        <f>HYPERLINK("https://klasma.github.io/Logging_0834/kartor/A 37689-2019 karta.png", "A 37689-2019")</f>
        <v/>
      </c>
      <c r="V23">
        <f>HYPERLINK("https://klasma.github.io/Logging_0834/klagomål/A 37689-2019 FSC-klagomål.docx", "A 37689-2019")</f>
        <v/>
      </c>
      <c r="W23">
        <f>HYPERLINK("https://klasma.github.io/Logging_0834/klagomålsmail/A 37689-2019 FSC-klagomål mail.docx", "A 37689-2019")</f>
        <v/>
      </c>
      <c r="X23">
        <f>HYPERLINK("https://klasma.github.io/Logging_0834/tillsyn/A 37689-2019 tillsynsbegäran.docx", "A 37689-2019")</f>
        <v/>
      </c>
      <c r="Y23">
        <f>HYPERLINK("https://klasma.github.io/Logging_0834/tillsynsmail/A 37689-2019 tillsynsbegäran mail.docx", "A 37689-2019")</f>
        <v/>
      </c>
    </row>
    <row r="24" ht="15" customHeight="1">
      <c r="A24" t="inlineStr">
        <is>
          <t>A 39728-2019</t>
        </is>
      </c>
      <c r="B24" s="1" t="n">
        <v>43691</v>
      </c>
      <c r="C24" s="1" t="n">
        <v>45681</v>
      </c>
      <c r="D24" t="inlineStr">
        <is>
          <t>KALMAR LÄN</t>
        </is>
      </c>
      <c r="E24" t="inlineStr">
        <is>
          <t>TORSÅS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39728-2019 artfynd.xlsx", "A 39728-2019")</f>
        <v/>
      </c>
      <c r="T24">
        <f>HYPERLINK("https://klasma.github.io/Logging_0834/kartor/A 39728-2019 karta.png", "A 39728-2019")</f>
        <v/>
      </c>
      <c r="V24">
        <f>HYPERLINK("https://klasma.github.io/Logging_0834/klagomål/A 39728-2019 FSC-klagomål.docx", "A 39728-2019")</f>
        <v/>
      </c>
      <c r="W24">
        <f>HYPERLINK("https://klasma.github.io/Logging_0834/klagomålsmail/A 39728-2019 FSC-klagomål mail.docx", "A 39728-2019")</f>
        <v/>
      </c>
      <c r="X24">
        <f>HYPERLINK("https://klasma.github.io/Logging_0834/tillsyn/A 39728-2019 tillsynsbegäran.docx", "A 39728-2019")</f>
        <v/>
      </c>
      <c r="Y24">
        <f>HYPERLINK("https://klasma.github.io/Logging_0834/tillsynsmail/A 39728-2019 tillsynsbegäran mail.docx", "A 39728-2019")</f>
        <v/>
      </c>
    </row>
    <row r="25" ht="15" customHeight="1">
      <c r="A25" t="inlineStr">
        <is>
          <t>A 42211-2019</t>
        </is>
      </c>
      <c r="B25" s="1" t="n">
        <v>43703</v>
      </c>
      <c r="C25" s="1" t="n">
        <v>45681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HYPERLINK("https://klasma.github.io/Logging_0834/artfynd/A 42211-2019 artfynd.xlsx", "A 42211-2019")</f>
        <v/>
      </c>
      <c r="T25">
        <f>HYPERLINK("https://klasma.github.io/Logging_0834/kartor/A 42211-2019 karta.png", "A 42211-2019")</f>
        <v/>
      </c>
      <c r="V25">
        <f>HYPERLINK("https://klasma.github.io/Logging_0834/klagomål/A 42211-2019 FSC-klagomål.docx", "A 42211-2019")</f>
        <v/>
      </c>
      <c r="W25">
        <f>HYPERLINK("https://klasma.github.io/Logging_0834/klagomålsmail/A 42211-2019 FSC-klagomål mail.docx", "A 42211-2019")</f>
        <v/>
      </c>
      <c r="X25">
        <f>HYPERLINK("https://klasma.github.io/Logging_0834/tillsyn/A 42211-2019 tillsynsbegäran.docx", "A 42211-2019")</f>
        <v/>
      </c>
      <c r="Y25">
        <f>HYPERLINK("https://klasma.github.io/Logging_0834/tillsynsmail/A 42211-2019 tillsynsbegäran mail.docx", "A 42211-2019")</f>
        <v/>
      </c>
    </row>
    <row r="26" ht="15" customHeight="1">
      <c r="A26" t="inlineStr">
        <is>
          <t>A 42206-2019</t>
        </is>
      </c>
      <c r="B26" s="1" t="n">
        <v>43703</v>
      </c>
      <c r="C26" s="1" t="n">
        <v>45681</v>
      </c>
      <c r="D26" t="inlineStr">
        <is>
          <t>KALMAR LÄN</t>
        </is>
      </c>
      <c r="E26" t="inlineStr">
        <is>
          <t>TORSÅS</t>
        </is>
      </c>
      <c r="G26" t="n">
        <v>13.3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HYPERLINK("https://klasma.github.io/Logging_0834/artfynd/A 42206-2019 artfynd.xlsx", "A 42206-2019")</f>
        <v/>
      </c>
      <c r="T26">
        <f>HYPERLINK("https://klasma.github.io/Logging_0834/kartor/A 42206-2019 karta.png", "A 42206-2019")</f>
        <v/>
      </c>
      <c r="V26">
        <f>HYPERLINK("https://klasma.github.io/Logging_0834/klagomål/A 42206-2019 FSC-klagomål.docx", "A 42206-2019")</f>
        <v/>
      </c>
      <c r="W26">
        <f>HYPERLINK("https://klasma.github.io/Logging_0834/klagomålsmail/A 42206-2019 FSC-klagomål mail.docx", "A 42206-2019")</f>
        <v/>
      </c>
      <c r="X26">
        <f>HYPERLINK("https://klasma.github.io/Logging_0834/tillsyn/A 42206-2019 tillsynsbegäran.docx", "A 42206-2019")</f>
        <v/>
      </c>
      <c r="Y26">
        <f>HYPERLINK("https://klasma.github.io/Logging_0834/tillsynsmail/A 42206-2019 tillsynsbegäran mail.docx", "A 42206-2019")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45681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45681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45681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45681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45681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45681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45681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45681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45681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45681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45681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45681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45681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45681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45681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45681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45681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45681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45681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45681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45681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45681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45681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45681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45681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45681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45681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45681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45681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45681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45681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45681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45681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45681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45681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45681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45681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45681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45681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45681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45681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45681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45681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45681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45681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45681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45681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45681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45681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45681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45681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45681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45681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45681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45681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45681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45681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45681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45681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45681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45681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45681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45681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45681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45681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45681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45681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45681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45681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45681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45681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45681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45681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45681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45681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45681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45681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45681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45681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45681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45681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45681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45681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45681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45681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45681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45681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45681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45681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45681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45681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45681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45681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45681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45681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45681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45681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45681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45681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45681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45681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45681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45681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45681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45681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45681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45681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45681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45681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45681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45681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45681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45681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45681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45681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45681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45681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45681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45681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45681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45681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45681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45681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45681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45681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45681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45681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45681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45681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45681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45681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45681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45681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45681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45681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45681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45681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45681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45681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45681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45681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45681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45681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45681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45681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45681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45681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45681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45681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45681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45681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45681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45681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45681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45681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45681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45681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45681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45681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45681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45681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45681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45681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45681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45681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45681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45681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45681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45681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45681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45681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45681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45681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45681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45681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45681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45681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45681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45681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45681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45681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45681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45681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45681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45681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45681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45681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45681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45681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45681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45681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45681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45681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45681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45681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45681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45681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45681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45681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45681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45681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45681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45681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45681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45681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45681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45681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45681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45681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45681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45681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45681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45681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45681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45681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45681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45681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45681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45681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45681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45681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45681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45681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45681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45681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45681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45681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45681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45681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45681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45681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45681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45681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45681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45681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45681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45681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45681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45681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45681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45681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45681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45681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45681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45681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45681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45681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45681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45681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45681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45681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45681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45681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45681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45681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45681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45681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45681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45681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45681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45681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45681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45681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45681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45681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45681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45681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45681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45681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45681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45681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45681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45681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45681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45681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45681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45681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45681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45681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45681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45681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45681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45681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45681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45681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45681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45681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45681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45681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45681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45681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45681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45681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45681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45681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45681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45681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45681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45681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45681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45681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45681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45681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45681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45681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45681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45681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45681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45681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45681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45681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45681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45681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45681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45681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45681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45681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45681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45681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45681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45681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45681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45681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45681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45681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45681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45681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45681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45681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45681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45681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45681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45681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45681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45681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45681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45681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45681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45681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45681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45681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45681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45681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45681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45681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45681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45681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45681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45681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45681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45681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45681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45681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45681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45681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45681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45681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45681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45681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45681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45681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45681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45681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45681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45681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45681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45681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45681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45681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45681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45681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45681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45681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45681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45681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45681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45681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45681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45681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45681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45681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45681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45681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45681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45681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45681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45681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45681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45681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45681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45681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45681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45681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45681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45681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45681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45681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45681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45681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45681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45681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45681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45681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45681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45681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45681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45681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45681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45681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45681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45681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45681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45681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45681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45681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45681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45681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45681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45681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45681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45681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45681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45681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45681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45681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45681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45681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45681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45681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45681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45681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45681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45681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45681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45681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45681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45681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45681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45681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45681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45681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45681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45681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45681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45681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45681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45681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45681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45681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45681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45681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45681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45681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45681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45681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45681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45681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45681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45681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45681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45681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45681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45681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45681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45681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45681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45681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45681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45681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45681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45681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45681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45681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45681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45681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45681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45681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45681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45681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45681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45681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45681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45681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45681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45681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45681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45681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45681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45681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45681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45681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45681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45681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45681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45681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45681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45681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45681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45681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45681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45681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45681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45681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45681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45681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45681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45681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45681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45681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45681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45681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45681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45681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45681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45681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45681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45681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45681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45681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45681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45681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45681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45681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45681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45681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45681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45681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45681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45681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45681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45681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45681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45681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45681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45681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45681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45681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45681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45681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45681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45681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45681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45681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45681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45681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45681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45681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45681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45681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45681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45681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45681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45681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45681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45681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45681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45681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45681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45681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45681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45681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45681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45681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45681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45681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45681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45681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45681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45681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45681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45681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45681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45681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45681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45681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45681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45681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45681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45681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45681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45681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45681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45681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45681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45681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45681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45681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45681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45681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45681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45681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45681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45681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45681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45681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45681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45681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45681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45681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45681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45681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45681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45681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45681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45681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45681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45681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45681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45681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45681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45681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45681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45681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45681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45681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45681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45681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45681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45681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45681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45681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45681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45681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45681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45681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45681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45681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45681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45681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45681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45681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45681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45681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45681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45681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45681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45681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45681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45681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45681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45681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45681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45681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45681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45681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45681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45681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45681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45681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45681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45681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45681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45681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45681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45681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45681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45681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45681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45681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45681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45681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45681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45681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45681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45681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45681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45681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45681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45681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45681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45681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45681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45681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45681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45681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45681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45681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45681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45681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45681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45681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45681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45681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45681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45681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45681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45681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45681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45681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45681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45681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45681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45681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45681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45681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45681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45681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45681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45681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45681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45681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45681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45681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45681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45681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45681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45681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45681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45681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45681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45681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45681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45681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45681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45681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45681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45681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45681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45681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45681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45681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45681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45681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45681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45681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45681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45681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45681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45681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45681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45681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45681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45681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45681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45681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45681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45681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45681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45681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45681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45681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45681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45681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45681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45681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45681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45681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45681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45681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45681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45681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45681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45681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45681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45681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45681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45681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45681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45681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45681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45681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45681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45681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45681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45681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45681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45681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45681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45681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45681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45681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45681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45681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45681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45681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45681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45681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45681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45681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45681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45681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45681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45681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45681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45681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45681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45681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45681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45681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45681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45681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45681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45681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45681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45681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45681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45681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45681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45681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45681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45681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45681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45681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45681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45681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45681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45681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45681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45681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45681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45681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45681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45681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45681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45681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45681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45681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45681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45681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45681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45681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45681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45681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45681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45681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45681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45681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45681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45681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45681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45681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45681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45681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45681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45681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45681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45681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45681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45681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45681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45681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45681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45681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45681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45681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45681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45681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45681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45681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45681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45681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45681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45681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45681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45681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45681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45681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45681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45681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45681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45681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45681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45681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45681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45681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45681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45681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45681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45681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45681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45681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45681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45681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45681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45681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45681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45681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45681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45681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45681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45681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45681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45681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45681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45681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45681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45681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45681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45681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45681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45681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45681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45681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45681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45681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45681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45681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45681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45681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45681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45681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45681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45681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45681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45681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45681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45681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45681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45681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45681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45681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45681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45681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45681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45681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45681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45681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45681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45681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45681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45681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45681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45681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45681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45681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45681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45681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45681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45681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45681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45681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45681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45681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45681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45681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45681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45681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45681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45681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45681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45681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45681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45681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45681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45681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45681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45681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45681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45681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45681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45681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45681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45681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45681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45681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45681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45681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45681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2874-2025</t>
        </is>
      </c>
      <c r="B985" s="1" t="n">
        <v>45677</v>
      </c>
      <c r="C985" s="1" t="n">
        <v>45681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2025-01-24T16:05:07Z</dcterms:created>
  <dcterms:modified xmlns:dcterms="http://purl.org/dc/terms/" xmlns:xsi="http://www.w3.org/2001/XMLSchema-instance" xsi:type="dcterms:W3CDTF">2025-01-24T16:05:08Z</dcterms:modified>
</cp:coreProperties>
</file>