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46200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28946-2025</t>
        </is>
      </c>
      <c r="B3" s="1" t="n">
        <v>45820</v>
      </c>
      <c r="C3" s="1" t="n">
        <v>46200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24660-2025</t>
        </is>
      </c>
      <c r="B4" s="1" t="n">
        <v>45798</v>
      </c>
      <c r="C4" s="1" t="n">
        <v>46200</v>
      </c>
      <c r="D4" t="inlineStr">
        <is>
          <t>KALMAR LÄN</t>
        </is>
      </c>
      <c r="E4" t="inlineStr">
        <is>
          <t>TORSÅS</t>
        </is>
      </c>
      <c r="G4" t="n">
        <v>2.3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Sydpipistrell
Nordfladdermus
Dvärgpipistrell
Större brunfladdermus</t>
        </is>
      </c>
      <c r="S4">
        <f>HYPERLINK("https://klasma.github.io/Logging_0834/artfynd/A 24660-2025 artfynd.xlsx", "A 24660-2025")</f>
        <v/>
      </c>
      <c r="T4">
        <f>HYPERLINK("https://klasma.github.io/Logging_0834/kartor/A 24660-2025 karta.png", "A 24660-2025")</f>
        <v/>
      </c>
      <c r="V4">
        <f>HYPERLINK("https://klasma.github.io/Logging_0834/klagomål/A 24660-2025 FSC-klagomål.docx", "A 24660-2025")</f>
        <v/>
      </c>
      <c r="W4">
        <f>HYPERLINK("https://klasma.github.io/Logging_0834/klagomålsmail/A 24660-2025 FSC-klagomål mail.docx", "A 24660-2025")</f>
        <v/>
      </c>
      <c r="X4">
        <f>HYPERLINK("https://klasma.github.io/Logging_0834/tillsyn/A 24660-2025 tillsynsbegäran.docx", "A 24660-2025")</f>
        <v/>
      </c>
      <c r="Y4">
        <f>HYPERLINK("https://klasma.github.io/Logging_0834/tillsynsmail/A 24660-2025 tillsynsbegäran mail.docx", "A 24660-2025")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46200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46200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8304-2024</t>
        </is>
      </c>
      <c r="B7" s="1" t="n">
        <v>45350</v>
      </c>
      <c r="C7" s="1" t="n">
        <v>46200</v>
      </c>
      <c r="D7" t="inlineStr">
        <is>
          <t>KALMAR LÄN</t>
        </is>
      </c>
      <c r="E7" t="inlineStr">
        <is>
          <t>TORSÅS</t>
        </is>
      </c>
      <c r="G7" t="n">
        <v>0.9</v>
      </c>
      <c r="H7" t="n">
        <v>0</v>
      </c>
      <c r="I7" t="n">
        <v>0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s="2" t="inlineStr">
        <is>
          <t>Almlav
Korndådra
Gulvit blekspik</t>
        </is>
      </c>
      <c r="S7">
        <f>HYPERLINK("https://klasma.github.io/Logging_0834/artfynd/A 8304-2024 artfynd.xlsx", "A 8304-2024")</f>
        <v/>
      </c>
      <c r="T7">
        <f>HYPERLINK("https://klasma.github.io/Logging_0834/kartor/A 8304-2024 karta.png", "A 8304-2024")</f>
        <v/>
      </c>
      <c r="V7">
        <f>HYPERLINK("https://klasma.github.io/Logging_0834/klagomål/A 8304-2024 FSC-klagomål.docx", "A 8304-2024")</f>
        <v/>
      </c>
      <c r="W7">
        <f>HYPERLINK("https://klasma.github.io/Logging_0834/klagomålsmail/A 8304-2024 FSC-klagomål mail.docx", "A 8304-2024")</f>
        <v/>
      </c>
      <c r="X7">
        <f>HYPERLINK("https://klasma.github.io/Logging_0834/tillsyn/A 8304-2024 tillsynsbegäran.docx", "A 8304-2024")</f>
        <v/>
      </c>
      <c r="Y7">
        <f>HYPERLINK("https://klasma.github.io/Logging_0834/tillsynsmail/A 8304-2024 tillsynsbegäran mail.docx", "A 8304-2024")</f>
        <v/>
      </c>
    </row>
    <row r="8" ht="15" customHeight="1">
      <c r="A8" t="inlineStr">
        <is>
          <t>A 8427-2023</t>
        </is>
      </c>
      <c r="B8" s="1" t="n">
        <v>44977</v>
      </c>
      <c r="C8" s="1" t="n">
        <v>46200</v>
      </c>
      <c r="D8" t="inlineStr">
        <is>
          <t>KALMAR LÄN</t>
        </is>
      </c>
      <c r="E8" t="inlineStr">
        <is>
          <t>TORSÅS</t>
        </is>
      </c>
      <c r="G8" t="n">
        <v>0.5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Bokvårtlav
Blomkålssvamp
Stubbspretmossa</t>
        </is>
      </c>
      <c r="S8">
        <f>HYPERLINK("https://klasma.github.io/Logging_0834/artfynd/A 8427-2023 artfynd.xlsx", "A 8427-2023")</f>
        <v/>
      </c>
      <c r="T8">
        <f>HYPERLINK("https://klasma.github.io/Logging_0834/kartor/A 8427-2023 karta.png", "A 8427-2023")</f>
        <v/>
      </c>
      <c r="V8">
        <f>HYPERLINK("https://klasma.github.io/Logging_0834/klagomål/A 8427-2023 FSC-klagomål.docx", "A 8427-2023")</f>
        <v/>
      </c>
      <c r="W8">
        <f>HYPERLINK("https://klasma.github.io/Logging_0834/klagomålsmail/A 8427-2023 FSC-klagomål mail.docx", "A 8427-2023")</f>
        <v/>
      </c>
      <c r="X8">
        <f>HYPERLINK("https://klasma.github.io/Logging_0834/tillsyn/A 8427-2023 tillsynsbegäran.docx", "A 8427-2023")</f>
        <v/>
      </c>
      <c r="Y8">
        <f>HYPERLINK("https://klasma.github.io/Logging_0834/tillsynsmail/A 8427-2023 tillsynsbegäran mail.docx", "A 8427-2023")</f>
        <v/>
      </c>
    </row>
    <row r="9" ht="15" customHeight="1">
      <c r="A9" t="inlineStr">
        <is>
          <t>A 24159-2022</t>
        </is>
      </c>
      <c r="B9" s="1" t="n">
        <v>44725</v>
      </c>
      <c r="C9" s="1" t="n">
        <v>46200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24159-2022 artfynd.xlsx", "A 24159-2022")</f>
        <v/>
      </c>
      <c r="T9">
        <f>HYPERLINK("https://klasma.github.io/Logging_0834/kartor/A 24159-2022 karta.png", "A 24159-2022")</f>
        <v/>
      </c>
      <c r="V9">
        <f>HYPERLINK("https://klasma.github.io/Logging_0834/klagomål/A 24159-2022 FSC-klagomål.docx", "A 24159-2022")</f>
        <v/>
      </c>
      <c r="W9">
        <f>HYPERLINK("https://klasma.github.io/Logging_0834/klagomålsmail/A 24159-2022 FSC-klagomål mail.docx", "A 24159-2022")</f>
        <v/>
      </c>
      <c r="X9">
        <f>HYPERLINK("https://klasma.github.io/Logging_0834/tillsyn/A 24159-2022 tillsynsbegäran.docx", "A 24159-2022")</f>
        <v/>
      </c>
      <c r="Y9">
        <f>HYPERLINK("https://klasma.github.io/Logging_0834/tillsynsmail/A 24159-2022 tillsynsbegäran mail.docx", "A 24159-2022")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46200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46200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46200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  <c r="Z12">
        <f>HYPERLINK("https://klasma.github.io/Logging_0834/fåglar/A 10603-2023 prioriterade fågelarter.docx", "A 10603-2023")</f>
        <v/>
      </c>
    </row>
    <row r="13" ht="15" customHeight="1">
      <c r="A13" t="inlineStr">
        <is>
          <t>A 8311-2024</t>
        </is>
      </c>
      <c r="B13" s="1" t="n">
        <v>45350</v>
      </c>
      <c r="C13" s="1" t="n">
        <v>46200</v>
      </c>
      <c r="D13" t="inlineStr">
        <is>
          <t>KALMAR LÄN</t>
        </is>
      </c>
      <c r="E13" t="inlineStr">
        <is>
          <t>TORSÅS</t>
        </is>
      </c>
      <c r="G13" t="n">
        <v>3.8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Underviol</t>
        </is>
      </c>
      <c r="S13">
        <f>HYPERLINK("https://klasma.github.io/Logging_0834/artfynd/A 8311-2024 artfynd.xlsx", "A 8311-2024")</f>
        <v/>
      </c>
      <c r="T13">
        <f>HYPERLINK("https://klasma.github.io/Logging_0834/kartor/A 8311-2024 karta.png", "A 8311-2024")</f>
        <v/>
      </c>
      <c r="V13">
        <f>HYPERLINK("https://klasma.github.io/Logging_0834/klagomål/A 8311-2024 FSC-klagomål.docx", "A 8311-2024")</f>
        <v/>
      </c>
      <c r="W13">
        <f>HYPERLINK("https://klasma.github.io/Logging_0834/klagomålsmail/A 8311-2024 FSC-klagomål mail.docx", "A 8311-2024")</f>
        <v/>
      </c>
      <c r="X13">
        <f>HYPERLINK("https://klasma.github.io/Logging_0834/tillsyn/A 8311-2024 tillsynsbegäran.docx", "A 8311-2024")</f>
        <v/>
      </c>
      <c r="Y13">
        <f>HYPERLINK("https://klasma.github.io/Logging_0834/tillsynsmail/A 8311-2024 tillsynsbegäran mail.docx", "A 8311-2024")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46200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46200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831-2022</t>
        </is>
      </c>
      <c r="B16" s="1" t="n">
        <v>44571</v>
      </c>
      <c r="C16" s="1" t="n">
        <v>46200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49001-2021</t>
        </is>
      </c>
      <c r="B17" s="1" t="n">
        <v>44453</v>
      </c>
      <c r="C17" s="1" t="n">
        <v>46200</v>
      </c>
      <c r="D17" t="inlineStr">
        <is>
          <t>KALMAR LÄN</t>
        </is>
      </c>
      <c r="E17" t="inlineStr">
        <is>
          <t>TORSÅS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49001-2021 artfynd.xlsx", "A 49001-2021")</f>
        <v/>
      </c>
      <c r="T17">
        <f>HYPERLINK("https://klasma.github.io/Logging_0834/kartor/A 49001-2021 karta.png", "A 49001-2021")</f>
        <v/>
      </c>
      <c r="V17">
        <f>HYPERLINK("https://klasma.github.io/Logging_0834/klagomål/A 49001-2021 FSC-klagomål.docx", "A 49001-2021")</f>
        <v/>
      </c>
      <c r="W17">
        <f>HYPERLINK("https://klasma.github.io/Logging_0834/klagomålsmail/A 49001-2021 FSC-klagomål mail.docx", "A 49001-2021")</f>
        <v/>
      </c>
      <c r="X17">
        <f>HYPERLINK("https://klasma.github.io/Logging_0834/tillsyn/A 49001-2021 tillsynsbegäran.docx", "A 49001-2021")</f>
        <v/>
      </c>
      <c r="Y17">
        <f>HYPERLINK("https://klasma.github.io/Logging_0834/tillsynsmail/A 49001-2021 tillsynsbegäran mail.docx", "A 49001-2021")</f>
        <v/>
      </c>
    </row>
    <row r="18" ht="15" customHeight="1">
      <c r="A18" t="inlineStr">
        <is>
          <t>A 9688-2023</t>
        </is>
      </c>
      <c r="B18" s="1" t="n">
        <v>44984</v>
      </c>
      <c r="C18" s="1" t="n">
        <v>46200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2667-2022</t>
        </is>
      </c>
      <c r="B19" s="1" t="n">
        <v>44580</v>
      </c>
      <c r="C19" s="1" t="n">
        <v>46200</v>
      </c>
      <c r="D19" t="inlineStr">
        <is>
          <t>KALMAR LÄN</t>
        </is>
      </c>
      <c r="E19" t="inlineStr">
        <is>
          <t>TORSÅS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2667-2022 artfynd.xlsx", "A 2667-2022")</f>
        <v/>
      </c>
      <c r="T19">
        <f>HYPERLINK("https://klasma.github.io/Logging_0834/kartor/A 2667-2022 karta.png", "A 2667-2022")</f>
        <v/>
      </c>
      <c r="V19">
        <f>HYPERLINK("https://klasma.github.io/Logging_0834/klagomål/A 2667-2022 FSC-klagomål.docx", "A 2667-2022")</f>
        <v/>
      </c>
      <c r="W19">
        <f>HYPERLINK("https://klasma.github.io/Logging_0834/klagomålsmail/A 2667-2022 FSC-klagomål mail.docx", "A 2667-2022")</f>
        <v/>
      </c>
      <c r="X19">
        <f>HYPERLINK("https://klasma.github.io/Logging_0834/tillsyn/A 2667-2022 tillsynsbegäran.docx", "A 2667-2022")</f>
        <v/>
      </c>
      <c r="Y19">
        <f>HYPERLINK("https://klasma.github.io/Logging_0834/tillsynsmail/A 2667-2022 tillsynsbegäran mail.docx", "A 2667-2022")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46200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46200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46200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46200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2277-2023</t>
        </is>
      </c>
      <c r="B24" s="1" t="n">
        <v>44942</v>
      </c>
      <c r="C24" s="1" t="n">
        <v>46200</v>
      </c>
      <c r="D24" t="inlineStr">
        <is>
          <t>KALMAR LÄN</t>
        </is>
      </c>
      <c r="E24" t="inlineStr">
        <is>
          <t>TORSÅS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HYPERLINK("https://klasma.github.io/Logging_0834/artfynd/A 2277-2023 artfynd.xlsx", "A 2277-2023")</f>
        <v/>
      </c>
      <c r="T24">
        <f>HYPERLINK("https://klasma.github.io/Logging_0834/kartor/A 2277-2023 karta.png", "A 2277-2023")</f>
        <v/>
      </c>
      <c r="V24">
        <f>HYPERLINK("https://klasma.github.io/Logging_0834/klagomål/A 2277-2023 FSC-klagomål.docx", "A 2277-2023")</f>
        <v/>
      </c>
      <c r="W24">
        <f>HYPERLINK("https://klasma.github.io/Logging_0834/klagomålsmail/A 2277-2023 FSC-klagomål mail.docx", "A 2277-2023")</f>
        <v/>
      </c>
      <c r="X24">
        <f>HYPERLINK("https://klasma.github.io/Logging_0834/tillsyn/A 2277-2023 tillsynsbegäran.docx", "A 2277-2023")</f>
        <v/>
      </c>
      <c r="Y24">
        <f>HYPERLINK("https://klasma.github.io/Logging_0834/tillsynsmail/A 2277-2023 tillsynsbegäran mail.docx", "A 2277-2023")</f>
        <v/>
      </c>
    </row>
    <row r="25" ht="15" customHeight="1">
      <c r="A25" t="inlineStr">
        <is>
          <t>A 52071-2023</t>
        </is>
      </c>
      <c r="B25" s="1" t="n">
        <v>45223</v>
      </c>
      <c r="C25" s="1" t="n">
        <v>46200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52071-2023 artfynd.xlsx", "A 52071-2023")</f>
        <v/>
      </c>
      <c r="T25">
        <f>HYPERLINK("https://klasma.github.io/Logging_0834/kartor/A 52071-2023 karta.png", "A 52071-2023")</f>
        <v/>
      </c>
      <c r="V25">
        <f>HYPERLINK("https://klasma.github.io/Logging_0834/klagomål/A 52071-2023 FSC-klagomål.docx", "A 52071-2023")</f>
        <v/>
      </c>
      <c r="W25">
        <f>HYPERLINK("https://klasma.github.io/Logging_0834/klagomålsmail/A 52071-2023 FSC-klagomål mail.docx", "A 52071-2023")</f>
        <v/>
      </c>
      <c r="X25">
        <f>HYPERLINK("https://klasma.github.io/Logging_0834/tillsyn/A 52071-2023 tillsynsbegäran.docx", "A 52071-2023")</f>
        <v/>
      </c>
      <c r="Y25">
        <f>HYPERLINK("https://klasma.github.io/Logging_0834/tillsynsmail/A 52071-2023 tillsynsbegäran mail.docx", "A 52071-2023")</f>
        <v/>
      </c>
    </row>
    <row r="26" ht="15" customHeight="1">
      <c r="A26" t="inlineStr">
        <is>
          <t>A 5755-2022</t>
        </is>
      </c>
      <c r="B26" s="1" t="n">
        <v>44596</v>
      </c>
      <c r="C26" s="1" t="n">
        <v>46200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35769-2025</t>
        </is>
      </c>
      <c r="B27" s="1" t="n">
        <v>45860</v>
      </c>
      <c r="C27" s="1" t="n">
        <v>46200</v>
      </c>
      <c r="D27" t="inlineStr">
        <is>
          <t>KALMAR LÄN</t>
        </is>
      </c>
      <c r="E27" t="inlineStr">
        <is>
          <t>TORSÅS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HYPERLINK("https://klasma.github.io/Logging_0834/artfynd/A 35769-2025 artfynd.xlsx", "A 35769-2025")</f>
        <v/>
      </c>
      <c r="T27">
        <f>HYPERLINK("https://klasma.github.io/Logging_0834/kartor/A 35769-2025 karta.png", "A 35769-2025")</f>
        <v/>
      </c>
      <c r="V27">
        <f>HYPERLINK("https://klasma.github.io/Logging_0834/klagomål/A 35769-2025 FSC-klagomål.docx", "A 35769-2025")</f>
        <v/>
      </c>
      <c r="W27">
        <f>HYPERLINK("https://klasma.github.io/Logging_0834/klagomålsmail/A 35769-2025 FSC-klagomål mail.docx", "A 35769-2025")</f>
        <v/>
      </c>
      <c r="X27">
        <f>HYPERLINK("https://klasma.github.io/Logging_0834/tillsyn/A 35769-2025 tillsynsbegäran.docx", "A 35769-2025")</f>
        <v/>
      </c>
      <c r="Y27">
        <f>HYPERLINK("https://klasma.github.io/Logging_0834/tillsynsmail/A 35769-2025 tillsynsbegäran mail.docx", "A 35769-2025")</f>
        <v/>
      </c>
    </row>
    <row r="28" ht="15" customHeight="1">
      <c r="A28" t="inlineStr">
        <is>
          <t>A 44569-2025</t>
        </is>
      </c>
      <c r="B28" s="1" t="n">
        <v>45917</v>
      </c>
      <c r="C28" s="1" t="n">
        <v>46200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HYPERLINK("https://klasma.github.io/Logging_0834/artfynd/A 44569-2025 artfynd.xlsx", "A 44569-2025")</f>
        <v/>
      </c>
      <c r="T28">
        <f>HYPERLINK("https://klasma.github.io/Logging_0834/kartor/A 44569-2025 karta.png", "A 44569-2025")</f>
        <v/>
      </c>
      <c r="V28">
        <f>HYPERLINK("https://klasma.github.io/Logging_0834/klagomål/A 44569-2025 FSC-klagomål.docx", "A 44569-2025")</f>
        <v/>
      </c>
      <c r="W28">
        <f>HYPERLINK("https://klasma.github.io/Logging_0834/klagomålsmail/A 44569-2025 FSC-klagomål mail.docx", "A 44569-2025")</f>
        <v/>
      </c>
      <c r="X28">
        <f>HYPERLINK("https://klasma.github.io/Logging_0834/tillsyn/A 44569-2025 tillsynsbegäran.docx", "A 44569-2025")</f>
        <v/>
      </c>
      <c r="Y28">
        <f>HYPERLINK("https://klasma.github.io/Logging_0834/tillsynsmail/A 44569-2025 tillsynsbegäran mail.docx", "A 44569-2025")</f>
        <v/>
      </c>
    </row>
    <row r="29" ht="15" customHeight="1">
      <c r="A29" t="inlineStr">
        <is>
          <t>A 45141-2025</t>
        </is>
      </c>
      <c r="B29" s="1" t="n">
        <v>45919</v>
      </c>
      <c r="C29" s="1" t="n">
        <v>46200</v>
      </c>
      <c r="D29" t="inlineStr">
        <is>
          <t>KALMAR LÄN</t>
        </is>
      </c>
      <c r="E29" t="inlineStr">
        <is>
          <t>TORSÅS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45141-2025 artfynd.xlsx", "A 45141-2025")</f>
        <v/>
      </c>
      <c r="T29">
        <f>HYPERLINK("https://klasma.github.io/Logging_0834/kartor/A 45141-2025 karta.png", "A 45141-2025")</f>
        <v/>
      </c>
      <c r="V29">
        <f>HYPERLINK("https://klasma.github.io/Logging_0834/klagomål/A 45141-2025 FSC-klagomål.docx", "A 45141-2025")</f>
        <v/>
      </c>
      <c r="W29">
        <f>HYPERLINK("https://klasma.github.io/Logging_0834/klagomålsmail/A 45141-2025 FSC-klagomål mail.docx", "A 45141-2025")</f>
        <v/>
      </c>
      <c r="X29">
        <f>HYPERLINK("https://klasma.github.io/Logging_0834/tillsyn/A 45141-2025 tillsynsbegäran.docx", "A 45141-2025")</f>
        <v/>
      </c>
      <c r="Y29">
        <f>HYPERLINK("https://klasma.github.io/Logging_0834/tillsynsmail/A 45141-2025 tillsynsbegäran mail.docx", "A 45141-2025")</f>
        <v/>
      </c>
    </row>
    <row r="30" ht="15" customHeight="1">
      <c r="A30" t="inlineStr">
        <is>
          <t>A 44226-2024</t>
        </is>
      </c>
      <c r="B30" s="1" t="n">
        <v>45573</v>
      </c>
      <c r="C30" s="1" t="n">
        <v>46200</v>
      </c>
      <c r="D30" t="inlineStr">
        <is>
          <t>KALMAR LÄN</t>
        </is>
      </c>
      <c r="E30" t="inlineStr">
        <is>
          <t>TORSÅS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HYPERLINK("https://klasma.github.io/Logging_0834/artfynd/A 44226-2024 artfynd.xlsx", "A 44226-2024")</f>
        <v/>
      </c>
      <c r="T30">
        <f>HYPERLINK("https://klasma.github.io/Logging_0834/kartor/A 44226-2024 karta.png", "A 44226-2024")</f>
        <v/>
      </c>
      <c r="V30">
        <f>HYPERLINK("https://klasma.github.io/Logging_0834/klagomål/A 44226-2024 FSC-klagomål.docx", "A 44226-2024")</f>
        <v/>
      </c>
      <c r="W30">
        <f>HYPERLINK("https://klasma.github.io/Logging_0834/klagomålsmail/A 44226-2024 FSC-klagomål mail.docx", "A 44226-2024")</f>
        <v/>
      </c>
      <c r="X30">
        <f>HYPERLINK("https://klasma.github.io/Logging_0834/tillsyn/A 44226-2024 tillsynsbegäran.docx", "A 44226-2024")</f>
        <v/>
      </c>
      <c r="Y30">
        <f>HYPERLINK("https://klasma.github.io/Logging_0834/tillsynsmail/A 44226-2024 tillsynsbegäran mail.docx", "A 44226-2024")</f>
        <v/>
      </c>
    </row>
    <row r="31" ht="15" customHeight="1">
      <c r="A31" t="inlineStr">
        <is>
          <t>A 59123-2025</t>
        </is>
      </c>
      <c r="B31" s="1" t="n">
        <v>45988</v>
      </c>
      <c r="C31" s="1" t="n">
        <v>46200</v>
      </c>
      <c r="D31" t="inlineStr">
        <is>
          <t>KALMAR LÄN</t>
        </is>
      </c>
      <c r="E31" t="inlineStr">
        <is>
          <t>TORSÅS</t>
        </is>
      </c>
      <c r="G31" t="n">
        <v>13.2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HYPERLINK("https://klasma.github.io/Logging_0834/artfynd/A 59123-2025 artfynd.xlsx", "A 59123-2025")</f>
        <v/>
      </c>
      <c r="T31">
        <f>HYPERLINK("https://klasma.github.io/Logging_0834/kartor/A 59123-2025 karta.png", "A 59123-2025")</f>
        <v/>
      </c>
      <c r="V31">
        <f>HYPERLINK("https://klasma.github.io/Logging_0834/klagomål/A 59123-2025 FSC-klagomål.docx", "A 59123-2025")</f>
        <v/>
      </c>
      <c r="W31">
        <f>HYPERLINK("https://klasma.github.io/Logging_0834/klagomålsmail/A 59123-2025 FSC-klagomål mail.docx", "A 59123-2025")</f>
        <v/>
      </c>
      <c r="X31">
        <f>HYPERLINK("https://klasma.github.io/Logging_0834/tillsyn/A 59123-2025 tillsynsbegäran.docx", "A 59123-2025")</f>
        <v/>
      </c>
      <c r="Y31">
        <f>HYPERLINK("https://klasma.github.io/Logging_0834/tillsynsmail/A 59123-2025 tillsynsbegäran mail.docx", "A 59123-2025")</f>
        <v/>
      </c>
    </row>
    <row r="32" ht="15" customHeight="1">
      <c r="A32" t="inlineStr">
        <is>
          <t>A 59126-2025</t>
        </is>
      </c>
      <c r="B32" s="1" t="n">
        <v>45988</v>
      </c>
      <c r="C32" s="1" t="n">
        <v>46200</v>
      </c>
      <c r="D32" t="inlineStr">
        <is>
          <t>KALMAR LÄN</t>
        </is>
      </c>
      <c r="E32" t="inlineStr">
        <is>
          <t>TORSÅS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Långbensgroda</t>
        </is>
      </c>
      <c r="S32">
        <f>HYPERLINK("https://klasma.github.io/Logging_0834/artfynd/A 59126-2025 artfynd.xlsx", "A 59126-2025")</f>
        <v/>
      </c>
      <c r="T32">
        <f>HYPERLINK("https://klasma.github.io/Logging_0834/kartor/A 59126-2025 karta.png", "A 59126-2025")</f>
        <v/>
      </c>
      <c r="V32">
        <f>HYPERLINK("https://klasma.github.io/Logging_0834/klagomål/A 59126-2025 FSC-klagomål.docx", "A 59126-2025")</f>
        <v/>
      </c>
      <c r="W32">
        <f>HYPERLINK("https://klasma.github.io/Logging_0834/klagomålsmail/A 59126-2025 FSC-klagomål mail.docx", "A 59126-2025")</f>
        <v/>
      </c>
      <c r="X32">
        <f>HYPERLINK("https://klasma.github.io/Logging_0834/tillsyn/A 59126-2025 tillsynsbegäran.docx", "A 59126-2025")</f>
        <v/>
      </c>
      <c r="Y32">
        <f>HYPERLINK("https://klasma.github.io/Logging_0834/tillsynsmail/A 59126-2025 tillsynsbegäran mail.docx", "A 59126-2025")</f>
        <v/>
      </c>
    </row>
    <row r="33" ht="15" customHeight="1">
      <c r="A33" t="inlineStr">
        <is>
          <t>A 6611-2026</t>
        </is>
      </c>
      <c r="B33" s="1" t="n">
        <v>46056</v>
      </c>
      <c r="C33" s="1" t="n">
        <v>46200</v>
      </c>
      <c r="D33" t="inlineStr">
        <is>
          <t>KALMAR LÄN</t>
        </is>
      </c>
      <c r="E33" t="inlineStr">
        <is>
          <t>TORSÅS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Långbensgroda</t>
        </is>
      </c>
      <c r="S33">
        <f>HYPERLINK("https://klasma.github.io/Logging_0834/artfynd/A 6611-2026 artfynd.xlsx", "A 6611-2026")</f>
        <v/>
      </c>
      <c r="T33">
        <f>HYPERLINK("https://klasma.github.io/Logging_0834/kartor/A 6611-2026 karta.png", "A 6611-2026")</f>
        <v/>
      </c>
      <c r="V33">
        <f>HYPERLINK("https://klasma.github.io/Logging_0834/klagomål/A 6611-2026 FSC-klagomål.docx", "A 6611-2026")</f>
        <v/>
      </c>
      <c r="W33">
        <f>HYPERLINK("https://klasma.github.io/Logging_0834/klagomålsmail/A 6611-2026 FSC-klagomål mail.docx", "A 6611-2026")</f>
        <v/>
      </c>
      <c r="X33">
        <f>HYPERLINK("https://klasma.github.io/Logging_0834/tillsyn/A 6611-2026 tillsynsbegäran.docx", "A 6611-2026")</f>
        <v/>
      </c>
      <c r="Y33">
        <f>HYPERLINK("https://klasma.github.io/Logging_0834/tillsynsmail/A 6611-2026 tillsynsbegäran mail.docx", "A 6611-2026")</f>
        <v/>
      </c>
    </row>
    <row r="34" ht="15" customHeight="1">
      <c r="A34" t="inlineStr">
        <is>
          <t>A 11606-2026</t>
        </is>
      </c>
      <c r="B34" s="1" t="n">
        <v>46084</v>
      </c>
      <c r="C34" s="1" t="n">
        <v>46200</v>
      </c>
      <c r="D34" t="inlineStr">
        <is>
          <t>KALMAR LÄN</t>
        </is>
      </c>
      <c r="E34" t="inlineStr">
        <is>
          <t>TORSÅS</t>
        </is>
      </c>
      <c r="G34" t="n">
        <v>4.8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HYPERLINK("https://klasma.github.io/Logging_0834/artfynd/A 11606-2026 artfynd.xlsx", "A 11606-2026")</f>
        <v/>
      </c>
      <c r="T34">
        <f>HYPERLINK("https://klasma.github.io/Logging_0834/kartor/A 11606-2026 karta.png", "A 11606-2026")</f>
        <v/>
      </c>
      <c r="V34">
        <f>HYPERLINK("https://klasma.github.io/Logging_0834/klagomål/A 11606-2026 FSC-klagomål.docx", "A 11606-2026")</f>
        <v/>
      </c>
      <c r="W34">
        <f>HYPERLINK("https://klasma.github.io/Logging_0834/klagomålsmail/A 11606-2026 FSC-klagomål mail.docx", "A 11606-2026")</f>
        <v/>
      </c>
      <c r="X34">
        <f>HYPERLINK("https://klasma.github.io/Logging_0834/tillsyn/A 11606-2026 tillsynsbegäran.docx", "A 11606-2026")</f>
        <v/>
      </c>
      <c r="Y34">
        <f>HYPERLINK("https://klasma.github.io/Logging_0834/tillsynsmail/A 11606-2026 tillsynsbegäran mail.docx", "A 11606-2026")</f>
        <v/>
      </c>
    </row>
    <row r="35" ht="15" customHeight="1">
      <c r="A35" t="inlineStr">
        <is>
          <t>A 16467-2026</t>
        </is>
      </c>
      <c r="B35" s="1" t="n">
        <v>46112</v>
      </c>
      <c r="C35" s="1" t="n">
        <v>46200</v>
      </c>
      <c r="D35" t="inlineStr">
        <is>
          <t>KALMAR LÄN</t>
        </is>
      </c>
      <c r="E35" t="inlineStr">
        <is>
          <t>TORSÅS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HYPERLINK("https://klasma.github.io/Logging_0834/artfynd/A 16467-2026 artfynd.xlsx", "A 16467-2026")</f>
        <v/>
      </c>
      <c r="T35">
        <f>HYPERLINK("https://klasma.github.io/Logging_0834/kartor/A 16467-2026 karta.png", "A 16467-2026")</f>
        <v/>
      </c>
      <c r="V35">
        <f>HYPERLINK("https://klasma.github.io/Logging_0834/klagomål/A 16467-2026 FSC-klagomål.docx", "A 16467-2026")</f>
        <v/>
      </c>
      <c r="W35">
        <f>HYPERLINK("https://klasma.github.io/Logging_0834/klagomålsmail/A 16467-2026 FSC-klagomål mail.docx", "A 16467-2026")</f>
        <v/>
      </c>
      <c r="X35">
        <f>HYPERLINK("https://klasma.github.io/Logging_0834/tillsyn/A 16467-2026 tillsynsbegäran.docx", "A 16467-2026")</f>
        <v/>
      </c>
      <c r="Y35">
        <f>HYPERLINK("https://klasma.github.io/Logging_0834/tillsynsmail/A 16467-2026 tillsynsbegäran mail.docx", "A 16467-2026")</f>
        <v/>
      </c>
    </row>
    <row r="36" ht="15" customHeight="1">
      <c r="A36" t="inlineStr">
        <is>
          <t>A 24513-2026</t>
        </is>
      </c>
      <c r="B36" s="1" t="n">
        <v>46170</v>
      </c>
      <c r="C36" s="1" t="n">
        <v>46200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HYPERLINK("https://klasma.github.io/Logging_0834/artfynd/A 24513-2026 artfynd.xlsx", "A 24513-2026")</f>
        <v/>
      </c>
      <c r="T36">
        <f>HYPERLINK("https://klasma.github.io/Logging_0834/kartor/A 24513-2026 karta.png", "A 24513-2026")</f>
        <v/>
      </c>
      <c r="V36">
        <f>HYPERLINK("https://klasma.github.io/Logging_0834/klagomål/A 24513-2026 FSC-klagomål.docx", "A 24513-2026")</f>
        <v/>
      </c>
      <c r="W36">
        <f>HYPERLINK("https://klasma.github.io/Logging_0834/klagomålsmail/A 24513-2026 FSC-klagomål mail.docx", "A 24513-2026")</f>
        <v/>
      </c>
      <c r="X36">
        <f>HYPERLINK("https://klasma.github.io/Logging_0834/tillsyn/A 24513-2026 tillsynsbegäran.docx", "A 24513-2026")</f>
        <v/>
      </c>
      <c r="Y36">
        <f>HYPERLINK("https://klasma.github.io/Logging_0834/tillsynsmail/A 24513-2026 tillsynsbegäran mail.docx", "A 24513-2026")</f>
        <v/>
      </c>
    </row>
    <row r="37" ht="15" customHeight="1">
      <c r="A37" t="inlineStr">
        <is>
          <t>A 44580-2022</t>
        </is>
      </c>
      <c r="B37" s="1" t="n">
        <v>44840</v>
      </c>
      <c r="C37" s="1" t="n">
        <v>46200</v>
      </c>
      <c r="D37" t="inlineStr">
        <is>
          <t>KALMAR LÄN</t>
        </is>
      </c>
      <c r="E37" t="inlineStr">
        <is>
          <t>TORSÅS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50226-2021</t>
        </is>
      </c>
      <c r="B38" s="1" t="n">
        <v>44457</v>
      </c>
      <c r="C38" s="1" t="n">
        <v>46200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46200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8509-2022</t>
        </is>
      </c>
      <c r="B40" s="1" t="n">
        <v>44613</v>
      </c>
      <c r="C40" s="1" t="n">
        <v>46200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44213-2021</t>
        </is>
      </c>
      <c r="B41" s="1" t="n">
        <v>44434</v>
      </c>
      <c r="C41" s="1" t="n">
        <v>46200</v>
      </c>
      <c r="D41" t="inlineStr">
        <is>
          <t>KALMAR LÄN</t>
        </is>
      </c>
      <c r="E41" t="inlineStr">
        <is>
          <t>TORSÅS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54449-2021</t>
        </is>
      </c>
      <c r="B42" s="1" t="n">
        <v>44473</v>
      </c>
      <c r="C42" s="1" t="n">
        <v>46200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</v>
      </c>
      <c r="C43" s="1" t="n">
        <v>46200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46200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46200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46200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34269-2021</t>
        </is>
      </c>
      <c r="B47" s="1" t="n">
        <v>44379</v>
      </c>
      <c r="C47" s="1" t="n">
        <v>46200</v>
      </c>
      <c r="D47" t="inlineStr">
        <is>
          <t>KALMAR LÄN</t>
        </is>
      </c>
      <c r="E47" t="inlineStr">
        <is>
          <t>TORSÅS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46200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45798-2022</t>
        </is>
      </c>
      <c r="B49" s="1" t="n">
        <v>44846</v>
      </c>
      <c r="C49" s="1" t="n">
        <v>46200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4646-2022</t>
        </is>
      </c>
      <c r="B50" s="1" t="n">
        <v>44592</v>
      </c>
      <c r="C50" s="1" t="n">
        <v>46200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46200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</v>
      </c>
      <c r="C52" s="1" t="n">
        <v>46200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46200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46200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</v>
      </c>
      <c r="C55" s="1" t="n">
        <v>46200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</v>
      </c>
      <c r="C56" s="1" t="n">
        <v>46200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</v>
      </c>
      <c r="C57" s="1" t="n">
        <v>46200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46200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64991-2021</t>
        </is>
      </c>
      <c r="B59" s="1" t="n">
        <v>44514</v>
      </c>
      <c r="C59" s="1" t="n">
        <v>46200</v>
      </c>
      <c r="D59" t="inlineStr">
        <is>
          <t>KALMAR LÄN</t>
        </is>
      </c>
      <c r="E59" t="inlineStr">
        <is>
          <t>TORSÅS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65912-2021</t>
        </is>
      </c>
      <c r="B60" s="1" t="n">
        <v>44517</v>
      </c>
      <c r="C60" s="1" t="n">
        <v>46200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</v>
      </c>
      <c r="C61" s="1" t="n">
        <v>46200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70317-2021</t>
        </is>
      </c>
      <c r="B62" s="1" t="n">
        <v>44536</v>
      </c>
      <c r="C62" s="1" t="n">
        <v>46200</v>
      </c>
      <c r="D62" t="inlineStr">
        <is>
          <t>KALMAR LÄN</t>
        </is>
      </c>
      <c r="E62" t="inlineStr">
        <is>
          <t>TORSÅS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43575-2022</t>
        </is>
      </c>
      <c r="B63" s="1" t="n">
        <v>44837</v>
      </c>
      <c r="C63" s="1" t="n">
        <v>46200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52886-2021</t>
        </is>
      </c>
      <c r="B64" s="1" t="n">
        <v>44467</v>
      </c>
      <c r="C64" s="1" t="n">
        <v>46200</v>
      </c>
      <c r="D64" t="inlineStr">
        <is>
          <t>KALMAR LÄN</t>
        </is>
      </c>
      <c r="E64" t="inlineStr">
        <is>
          <t>TORSÅS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52889-2021</t>
        </is>
      </c>
      <c r="B65" s="1" t="n">
        <v>44467</v>
      </c>
      <c r="C65" s="1" t="n">
        <v>46200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53370-2021</t>
        </is>
      </c>
      <c r="B66" s="1" t="n">
        <v>44466</v>
      </c>
      <c r="C66" s="1" t="n">
        <v>46200</v>
      </c>
      <c r="D66" t="inlineStr">
        <is>
          <t>KALMAR LÄN</t>
        </is>
      </c>
      <c r="E66" t="inlineStr">
        <is>
          <t>TORSÅS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48686-2021</t>
        </is>
      </c>
      <c r="B67" s="1" t="n">
        <v>44452</v>
      </c>
      <c r="C67" s="1" t="n">
        <v>46200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46200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</v>
      </c>
      <c r="C69" s="1" t="n">
        <v>46200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38823-2021</t>
        </is>
      </c>
      <c r="B70" s="1" t="n">
        <v>44411</v>
      </c>
      <c r="C70" s="1" t="n">
        <v>46200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47507-2021</t>
        </is>
      </c>
      <c r="B71" s="1" t="n">
        <v>44447</v>
      </c>
      <c r="C71" s="1" t="n">
        <v>46200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53410-2022</t>
        </is>
      </c>
      <c r="B72" s="1" t="n">
        <v>44879</v>
      </c>
      <c r="C72" s="1" t="n">
        <v>46200</v>
      </c>
      <c r="D72" t="inlineStr">
        <is>
          <t>KALMAR LÄN</t>
        </is>
      </c>
      <c r="E72" t="inlineStr">
        <is>
          <t>TORSÅS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55288-2021</t>
        </is>
      </c>
      <c r="B73" s="1" t="n">
        <v>44475</v>
      </c>
      <c r="C73" s="1" t="n">
        <v>46200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46200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18-2022</t>
        </is>
      </c>
      <c r="B75" s="1" t="n">
        <v>44564</v>
      </c>
      <c r="C75" s="1" t="n">
        <v>46200</v>
      </c>
      <c r="D75" t="inlineStr">
        <is>
          <t>KALMAR LÄN</t>
        </is>
      </c>
      <c r="E75" t="inlineStr">
        <is>
          <t>TORSÅS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21889-2022</t>
        </is>
      </c>
      <c r="B76" s="1" t="n">
        <v>44711</v>
      </c>
      <c r="C76" s="1" t="n">
        <v>46200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14383-2022</t>
        </is>
      </c>
      <c r="B77" s="1" t="n">
        <v>44652</v>
      </c>
      <c r="C77" s="1" t="n">
        <v>46200</v>
      </c>
      <c r="D77" t="inlineStr">
        <is>
          <t>KALMAR LÄN</t>
        </is>
      </c>
      <c r="E77" t="inlineStr">
        <is>
          <t>TORSÅS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34622-2022</t>
        </is>
      </c>
      <c r="B78" s="1" t="n">
        <v>44795</v>
      </c>
      <c r="C78" s="1" t="n">
        <v>46200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6021-2022</t>
        </is>
      </c>
      <c r="B79" s="1" t="n">
        <v>44599</v>
      </c>
      <c r="C79" s="1" t="n">
        <v>46200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55292-2021</t>
        </is>
      </c>
      <c r="B80" s="1" t="n">
        <v>44475</v>
      </c>
      <c r="C80" s="1" t="n">
        <v>46200</v>
      </c>
      <c r="D80" t="inlineStr">
        <is>
          <t>KALMAR LÄN</t>
        </is>
      </c>
      <c r="E80" t="inlineStr">
        <is>
          <t>TORSÅS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58776-2021</t>
        </is>
      </c>
      <c r="B81" s="1" t="n">
        <v>44489</v>
      </c>
      <c r="C81" s="1" t="n">
        <v>46200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12060-2022</t>
        </is>
      </c>
      <c r="B82" s="1" t="n">
        <v>44636</v>
      </c>
      <c r="C82" s="1" t="n">
        <v>46200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37966-2022</t>
        </is>
      </c>
      <c r="B83" s="1" t="n">
        <v>44811</v>
      </c>
      <c r="C83" s="1" t="n">
        <v>46200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37968-2022</t>
        </is>
      </c>
      <c r="B84" s="1" t="n">
        <v>44811</v>
      </c>
      <c r="C84" s="1" t="n">
        <v>46200</v>
      </c>
      <c r="D84" t="inlineStr">
        <is>
          <t>KALMAR LÄN</t>
        </is>
      </c>
      <c r="E84" t="inlineStr">
        <is>
          <t>TORSÅS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28592-2022</t>
        </is>
      </c>
      <c r="B85" s="1" t="n">
        <v>44748</v>
      </c>
      <c r="C85" s="1" t="n">
        <v>46200</v>
      </c>
      <c r="D85" t="inlineStr">
        <is>
          <t>KALMAR LÄN</t>
        </is>
      </c>
      <c r="E85" t="inlineStr">
        <is>
          <t>TORSÅS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15109-2022</t>
        </is>
      </c>
      <c r="B86" s="1" t="n">
        <v>44658</v>
      </c>
      <c r="C86" s="1" t="n">
        <v>46200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58768-2021</t>
        </is>
      </c>
      <c r="B87" s="1" t="n">
        <v>44489</v>
      </c>
      <c r="C87" s="1" t="n">
        <v>46200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38151-2022</t>
        </is>
      </c>
      <c r="B88" s="1" t="n">
        <v>44812</v>
      </c>
      <c r="C88" s="1" t="n">
        <v>46200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58615-2023</t>
        </is>
      </c>
      <c r="B89" s="1" t="n">
        <v>45251</v>
      </c>
      <c r="C89" s="1" t="n">
        <v>46200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41572-2022</t>
        </is>
      </c>
      <c r="B90" s="1" t="n">
        <v>44827</v>
      </c>
      <c r="C90" s="1" t="n">
        <v>46200</v>
      </c>
      <c r="D90" t="inlineStr">
        <is>
          <t>KALMAR LÄN</t>
        </is>
      </c>
      <c r="E90" t="inlineStr">
        <is>
          <t>TORSÅS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9151-2023</t>
        </is>
      </c>
      <c r="B91" s="1" t="n">
        <v>44980</v>
      </c>
      <c r="C91" s="1" t="n">
        <v>46200</v>
      </c>
      <c r="D91" t="inlineStr">
        <is>
          <t>KALMAR LÄN</t>
        </is>
      </c>
      <c r="E91" t="inlineStr">
        <is>
          <t>TORSÅS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47318-2022</t>
        </is>
      </c>
      <c r="B92" s="1" t="n">
        <v>44853</v>
      </c>
      <c r="C92" s="1" t="n">
        <v>46200</v>
      </c>
      <c r="D92" t="inlineStr">
        <is>
          <t>KALMAR LÄN</t>
        </is>
      </c>
      <c r="E92" t="inlineStr">
        <is>
          <t>TORSÅS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46640-2022</t>
        </is>
      </c>
      <c r="B93" s="1" t="n">
        <v>44849</v>
      </c>
      <c r="C93" s="1" t="n">
        <v>46200</v>
      </c>
      <c r="D93" t="inlineStr">
        <is>
          <t>KALMAR LÄN</t>
        </is>
      </c>
      <c r="E93" t="inlineStr">
        <is>
          <t>TORSÅS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55980-2022</t>
        </is>
      </c>
      <c r="B94" s="1" t="n">
        <v>44889</v>
      </c>
      <c r="C94" s="1" t="n">
        <v>46200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65647-2021</t>
        </is>
      </c>
      <c r="B95" s="1" t="n">
        <v>44516</v>
      </c>
      <c r="C95" s="1" t="n">
        <v>46200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65157-2023</t>
        </is>
      </c>
      <c r="B96" s="1" t="n">
        <v>45288</v>
      </c>
      <c r="C96" s="1" t="n">
        <v>46200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65159-2023</t>
        </is>
      </c>
      <c r="B97" s="1" t="n">
        <v>45288</v>
      </c>
      <c r="C97" s="1" t="n">
        <v>46200</v>
      </c>
      <c r="D97" t="inlineStr">
        <is>
          <t>KALMAR LÄN</t>
        </is>
      </c>
      <c r="E97" t="inlineStr">
        <is>
          <t>TORSÅS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58346-2023</t>
        </is>
      </c>
      <c r="B98" s="1" t="n">
        <v>45250</v>
      </c>
      <c r="C98" s="1" t="n">
        <v>46200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18689-2024</t>
        </is>
      </c>
      <c r="B99" s="1" t="n">
        <v>45426</v>
      </c>
      <c r="C99" s="1" t="n">
        <v>46200</v>
      </c>
      <c r="D99" t="inlineStr">
        <is>
          <t>KALMAR LÄN</t>
        </is>
      </c>
      <c r="E99" t="inlineStr">
        <is>
          <t>TORSÅS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12553-2023</t>
        </is>
      </c>
      <c r="B100" s="1" t="n">
        <v>45000</v>
      </c>
      <c r="C100" s="1" t="n">
        <v>46200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46038-2023</t>
        </is>
      </c>
      <c r="B101" s="1" t="n">
        <v>45196</v>
      </c>
      <c r="C101" s="1" t="n">
        <v>46200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19714-2022</t>
        </is>
      </c>
      <c r="B102" s="1" t="n">
        <v>44694</v>
      </c>
      <c r="C102" s="1" t="n">
        <v>46200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9683-2024</t>
        </is>
      </c>
      <c r="B103" s="1" t="n">
        <v>45362</v>
      </c>
      <c r="C103" s="1" t="n">
        <v>46200</v>
      </c>
      <c r="D103" t="inlineStr">
        <is>
          <t>KALMAR LÄN</t>
        </is>
      </c>
      <c r="E103" t="inlineStr">
        <is>
          <t>TORSÅS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2036-2024</t>
        </is>
      </c>
      <c r="B104" s="1" t="n">
        <v>45308</v>
      </c>
      <c r="C104" s="1" t="n">
        <v>46200</v>
      </c>
      <c r="D104" t="inlineStr">
        <is>
          <t>KALMAR LÄN</t>
        </is>
      </c>
      <c r="E104" t="inlineStr">
        <is>
          <t>TORSÅS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35116-2023</t>
        </is>
      </c>
      <c r="B105" s="1" t="n">
        <v>45145</v>
      </c>
      <c r="C105" s="1" t="n">
        <v>46200</v>
      </c>
      <c r="D105" t="inlineStr">
        <is>
          <t>KALMAR LÄN</t>
        </is>
      </c>
      <c r="E105" t="inlineStr">
        <is>
          <t>TORSÅS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10651-2023</t>
        </is>
      </c>
      <c r="B106" s="1" t="n">
        <v>44988</v>
      </c>
      <c r="C106" s="1" t="n">
        <v>46200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70315-2021</t>
        </is>
      </c>
      <c r="B107" s="1" t="n">
        <v>44536</v>
      </c>
      <c r="C107" s="1" t="n">
        <v>46200</v>
      </c>
      <c r="D107" t="inlineStr">
        <is>
          <t>KALMAR LÄN</t>
        </is>
      </c>
      <c r="E107" t="inlineStr">
        <is>
          <t>TORSÅS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10652-2023</t>
        </is>
      </c>
      <c r="B108" s="1" t="n">
        <v>44988</v>
      </c>
      <c r="C108" s="1" t="n">
        <v>46200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62661-2023</t>
        </is>
      </c>
      <c r="B109" s="1" t="n">
        <v>45271</v>
      </c>
      <c r="C109" s="1" t="n">
        <v>46200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27217-2022</t>
        </is>
      </c>
      <c r="B110" s="1" t="n">
        <v>44741</v>
      </c>
      <c r="C110" s="1" t="n">
        <v>46200</v>
      </c>
      <c r="D110" t="inlineStr">
        <is>
          <t>KALMAR LÄN</t>
        </is>
      </c>
      <c r="E110" t="inlineStr">
        <is>
          <t>TORSÅS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41566-2022</t>
        </is>
      </c>
      <c r="B111" s="1" t="n">
        <v>44827</v>
      </c>
      <c r="C111" s="1" t="n">
        <v>46200</v>
      </c>
      <c r="D111" t="inlineStr">
        <is>
          <t>KALMAR LÄN</t>
        </is>
      </c>
      <c r="E111" t="inlineStr">
        <is>
          <t>TORSÅS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49331-2022</t>
        </is>
      </c>
      <c r="B112" s="1" t="n">
        <v>44861</v>
      </c>
      <c r="C112" s="1" t="n">
        <v>46200</v>
      </c>
      <c r="D112" t="inlineStr">
        <is>
          <t>KALMAR LÄN</t>
        </is>
      </c>
      <c r="E112" t="inlineStr">
        <is>
          <t>TORSÅS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38521-2021</t>
        </is>
      </c>
      <c r="B113" s="1" t="n">
        <v>44407</v>
      </c>
      <c r="C113" s="1" t="n">
        <v>46200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30648-2022</t>
        </is>
      </c>
      <c r="B114" s="1" t="n">
        <v>44763</v>
      </c>
      <c r="C114" s="1" t="n">
        <v>46200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4928-2023</t>
        </is>
      </c>
      <c r="B115" s="1" t="n">
        <v>44958</v>
      </c>
      <c r="C115" s="1" t="n">
        <v>46200</v>
      </c>
      <c r="D115" t="inlineStr">
        <is>
          <t>KALMAR LÄN</t>
        </is>
      </c>
      <c r="E115" t="inlineStr">
        <is>
          <t>TORSÅS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12915-2023</t>
        </is>
      </c>
      <c r="B116" s="1" t="n">
        <v>45001</v>
      </c>
      <c r="C116" s="1" t="n">
        <v>46200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3396-2023</t>
        </is>
      </c>
      <c r="B117" s="1" t="n">
        <v>44949</v>
      </c>
      <c r="C117" s="1" t="n">
        <v>46200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2785-2023</t>
        </is>
      </c>
      <c r="B118" s="1" t="n">
        <v>44944</v>
      </c>
      <c r="C118" s="1" t="n">
        <v>46200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17815-2023</t>
        </is>
      </c>
      <c r="B119" s="1" t="n">
        <v>45036</v>
      </c>
      <c r="C119" s="1" t="n">
        <v>46200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58442-2023</t>
        </is>
      </c>
      <c r="B120" s="1" t="n">
        <v>45250</v>
      </c>
      <c r="C120" s="1" t="n">
        <v>46200</v>
      </c>
      <c r="D120" t="inlineStr">
        <is>
          <t>KALMAR LÄN</t>
        </is>
      </c>
      <c r="E120" t="inlineStr">
        <is>
          <t>TORSÅS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58443-2023</t>
        </is>
      </c>
      <c r="B121" s="1" t="n">
        <v>45250</v>
      </c>
      <c r="C121" s="1" t="n">
        <v>46200</v>
      </c>
      <c r="D121" t="inlineStr">
        <is>
          <t>KALMAR LÄN</t>
        </is>
      </c>
      <c r="E121" t="inlineStr">
        <is>
          <t>TORSÅS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52594-2023</t>
        </is>
      </c>
      <c r="B122" s="1" t="n">
        <v>45225</v>
      </c>
      <c r="C122" s="1" t="n">
        <v>46200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37551-2023</t>
        </is>
      </c>
      <c r="B123" s="1" t="n">
        <v>45159</v>
      </c>
      <c r="C123" s="1" t="n">
        <v>46200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46030-2023</t>
        </is>
      </c>
      <c r="B124" s="1" t="n">
        <v>45196</v>
      </c>
      <c r="C124" s="1" t="n">
        <v>46200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4926-2023</t>
        </is>
      </c>
      <c r="B125" s="1" t="n">
        <v>44958</v>
      </c>
      <c r="C125" s="1" t="n">
        <v>46200</v>
      </c>
      <c r="D125" t="inlineStr">
        <is>
          <t>KALMAR LÄN</t>
        </is>
      </c>
      <c r="E125" t="inlineStr">
        <is>
          <t>TORSÅS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8512-2022</t>
        </is>
      </c>
      <c r="B126" s="1" t="n">
        <v>44613</v>
      </c>
      <c r="C126" s="1" t="n">
        <v>46200</v>
      </c>
      <c r="D126" t="inlineStr">
        <is>
          <t>KALMAR LÄN</t>
        </is>
      </c>
      <c r="E126" t="inlineStr">
        <is>
          <t>TORSÅS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19648-2025</t>
        </is>
      </c>
      <c r="B127" s="1" t="n">
        <v>45770</v>
      </c>
      <c r="C127" s="1" t="n">
        <v>46200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34285-2022</t>
        </is>
      </c>
      <c r="B128" s="1" t="n">
        <v>44792</v>
      </c>
      <c r="C128" s="1" t="n">
        <v>46200</v>
      </c>
      <c r="D128" t="inlineStr">
        <is>
          <t>KALMAR LÄN</t>
        </is>
      </c>
      <c r="E128" t="inlineStr">
        <is>
          <t>TORSÅS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46622-2024</t>
        </is>
      </c>
      <c r="B129" s="1" t="n">
        <v>45583</v>
      </c>
      <c r="C129" s="1" t="n">
        <v>46200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56360-2022</t>
        </is>
      </c>
      <c r="B130" s="1" t="n">
        <v>44890</v>
      </c>
      <c r="C130" s="1" t="n">
        <v>46200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26515-2022</t>
        </is>
      </c>
      <c r="B131" s="1" t="n">
        <v>44739</v>
      </c>
      <c r="C131" s="1" t="n">
        <v>46200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60360-2022</t>
        </is>
      </c>
      <c r="B132" s="1" t="n">
        <v>44910</v>
      </c>
      <c r="C132" s="1" t="n">
        <v>46200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27771-2023</t>
        </is>
      </c>
      <c r="B133" s="1" t="n">
        <v>45098</v>
      </c>
      <c r="C133" s="1" t="n">
        <v>46200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23088-2023</t>
        </is>
      </c>
      <c r="B134" s="1" t="n">
        <v>45075</v>
      </c>
      <c r="C134" s="1" t="n">
        <v>46200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7969-2024</t>
        </is>
      </c>
      <c r="B135" s="1" t="n">
        <v>45350</v>
      </c>
      <c r="C135" s="1" t="n">
        <v>46200</v>
      </c>
      <c r="D135" t="inlineStr">
        <is>
          <t>KALMAR LÄN</t>
        </is>
      </c>
      <c r="E135" t="inlineStr">
        <is>
          <t>TORSÅS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51610-2023</t>
        </is>
      </c>
      <c r="B136" s="1" t="n">
        <v>45222</v>
      </c>
      <c r="C136" s="1" t="n">
        <v>46200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53367-2022</t>
        </is>
      </c>
      <c r="B137" s="1" t="n">
        <v>44879</v>
      </c>
      <c r="C137" s="1" t="n">
        <v>46200</v>
      </c>
      <c r="D137" t="inlineStr">
        <is>
          <t>KALMAR LÄN</t>
        </is>
      </c>
      <c r="E137" t="inlineStr">
        <is>
          <t>TORSÅS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6393-2023</t>
        </is>
      </c>
      <c r="B138" s="1" t="n">
        <v>44965</v>
      </c>
      <c r="C138" s="1" t="n">
        <v>46200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2285-2023</t>
        </is>
      </c>
      <c r="B139" s="1" t="n">
        <v>44942</v>
      </c>
      <c r="C139" s="1" t="n">
        <v>46200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51607-2023</t>
        </is>
      </c>
      <c r="B140" s="1" t="n">
        <v>45222</v>
      </c>
      <c r="C140" s="1" t="n">
        <v>46200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51647-2023</t>
        </is>
      </c>
      <c r="B141" s="1" t="n">
        <v>45222</v>
      </c>
      <c r="C141" s="1" t="n">
        <v>46200</v>
      </c>
      <c r="D141" t="inlineStr">
        <is>
          <t>KALMAR LÄN</t>
        </is>
      </c>
      <c r="E141" t="inlineStr">
        <is>
          <t>TORSÅS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31760-2022</t>
        </is>
      </c>
      <c r="B142" s="1" t="n">
        <v>44776</v>
      </c>
      <c r="C142" s="1" t="n">
        <v>46200</v>
      </c>
      <c r="D142" t="inlineStr">
        <is>
          <t>KALMAR LÄN</t>
        </is>
      </c>
      <c r="E142" t="inlineStr">
        <is>
          <t>TORSÅS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12956-2023</t>
        </is>
      </c>
      <c r="B143" s="1" t="n">
        <v>45001</v>
      </c>
      <c r="C143" s="1" t="n">
        <v>46200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12957-2023</t>
        </is>
      </c>
      <c r="B144" s="1" t="n">
        <v>45001</v>
      </c>
      <c r="C144" s="1" t="n">
        <v>46200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60810-2022</t>
        </is>
      </c>
      <c r="B145" s="1" t="n">
        <v>44914</v>
      </c>
      <c r="C145" s="1" t="n">
        <v>46200</v>
      </c>
      <c r="D145" t="inlineStr">
        <is>
          <t>KALMAR LÄN</t>
        </is>
      </c>
      <c r="E145" t="inlineStr">
        <is>
          <t>TORSÅS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55967-2023</t>
        </is>
      </c>
      <c r="B146" s="1" t="n">
        <v>45240</v>
      </c>
      <c r="C146" s="1" t="n">
        <v>46200</v>
      </c>
      <c r="D146" t="inlineStr">
        <is>
          <t>KALMAR LÄN</t>
        </is>
      </c>
      <c r="E146" t="inlineStr">
        <is>
          <t>TORSÅS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2477-2023</t>
        </is>
      </c>
      <c r="B147" s="1" t="n">
        <v>44943</v>
      </c>
      <c r="C147" s="1" t="n">
        <v>46200</v>
      </c>
      <c r="D147" t="inlineStr">
        <is>
          <t>KALMAR LÄN</t>
        </is>
      </c>
      <c r="E147" t="inlineStr">
        <is>
          <t>TORSÅS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54741-2022</t>
        </is>
      </c>
      <c r="B148" s="1" t="n">
        <v>44883</v>
      </c>
      <c r="C148" s="1" t="n">
        <v>46200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3376-2023</t>
        </is>
      </c>
      <c r="B149" s="1" t="n">
        <v>44949</v>
      </c>
      <c r="C149" s="1" t="n">
        <v>46200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47444-2021</t>
        </is>
      </c>
      <c r="B150" s="1" t="n">
        <v>44447</v>
      </c>
      <c r="C150" s="1" t="n">
        <v>46200</v>
      </c>
      <c r="D150" t="inlineStr">
        <is>
          <t>KALMAR LÄN</t>
        </is>
      </c>
      <c r="E150" t="inlineStr">
        <is>
          <t>TORSÅS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17819-2022</t>
        </is>
      </c>
      <c r="B151" s="1" t="n">
        <v>44683</v>
      </c>
      <c r="C151" s="1" t="n">
        <v>46200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17820-2022</t>
        </is>
      </c>
      <c r="B152" s="1" t="n">
        <v>44683</v>
      </c>
      <c r="C152" s="1" t="n">
        <v>46200</v>
      </c>
      <c r="D152" t="inlineStr">
        <is>
          <t>KALMAR LÄN</t>
        </is>
      </c>
      <c r="E152" t="inlineStr">
        <is>
          <t>TORSÅS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11162-2023</t>
        </is>
      </c>
      <c r="B153" s="1" t="n">
        <v>44992</v>
      </c>
      <c r="C153" s="1" t="n">
        <v>46200</v>
      </c>
      <c r="D153" t="inlineStr">
        <is>
          <t>KALMAR LÄN</t>
        </is>
      </c>
      <c r="E153" t="inlineStr">
        <is>
          <t>TORSÅS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2665-2022</t>
        </is>
      </c>
      <c r="B154" s="1" t="n">
        <v>44580</v>
      </c>
      <c r="C154" s="1" t="n">
        <v>46200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5106-2024</t>
        </is>
      </c>
      <c r="B155" s="1" t="n">
        <v>45330</v>
      </c>
      <c r="C155" s="1" t="n">
        <v>46200</v>
      </c>
      <c r="D155" t="inlineStr">
        <is>
          <t>KALMAR LÄN</t>
        </is>
      </c>
      <c r="E155" t="inlineStr">
        <is>
          <t>TORSÅS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37168-2023</t>
        </is>
      </c>
      <c r="B156" s="1" t="n">
        <v>45155</v>
      </c>
      <c r="C156" s="1" t="n">
        <v>46200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47004-2023</t>
        </is>
      </c>
      <c r="B157" s="1" t="n">
        <v>45201</v>
      </c>
      <c r="C157" s="1" t="n">
        <v>46200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10926-2024</t>
        </is>
      </c>
      <c r="B158" s="1" t="n">
        <v>45370</v>
      </c>
      <c r="C158" s="1" t="n">
        <v>46200</v>
      </c>
      <c r="D158" t="inlineStr">
        <is>
          <t>KALMAR LÄN</t>
        </is>
      </c>
      <c r="E158" t="inlineStr">
        <is>
          <t>TORSÅS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23091-2023</t>
        </is>
      </c>
      <c r="B159" s="1" t="n">
        <v>45075</v>
      </c>
      <c r="C159" s="1" t="n">
        <v>46200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34623-2022</t>
        </is>
      </c>
      <c r="B160" s="1" t="n">
        <v>44795</v>
      </c>
      <c r="C160" s="1" t="n">
        <v>46200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62649-2023</t>
        </is>
      </c>
      <c r="B161" s="1" t="n">
        <v>45271</v>
      </c>
      <c r="C161" s="1" t="n">
        <v>46200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58917-2024</t>
        </is>
      </c>
      <c r="B162" s="1" t="n">
        <v>45636</v>
      </c>
      <c r="C162" s="1" t="n">
        <v>46200</v>
      </c>
      <c r="D162" t="inlineStr">
        <is>
          <t>KALMAR LÄN</t>
        </is>
      </c>
      <c r="E162" t="inlineStr">
        <is>
          <t>TORSÅS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21305-2024</t>
        </is>
      </c>
      <c r="B163" s="1" t="n">
        <v>45440</v>
      </c>
      <c r="C163" s="1" t="n">
        <v>46200</v>
      </c>
      <c r="D163" t="inlineStr">
        <is>
          <t>KALMAR LÄN</t>
        </is>
      </c>
      <c r="E163" t="inlineStr">
        <is>
          <t>TORSÅS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4447-2024</t>
        </is>
      </c>
      <c r="B164" s="1" t="n">
        <v>45327</v>
      </c>
      <c r="C164" s="1" t="n">
        <v>46200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34636-2022</t>
        </is>
      </c>
      <c r="B165" s="1" t="n">
        <v>44795</v>
      </c>
      <c r="C165" s="1" t="n">
        <v>46200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58680-2022</t>
        </is>
      </c>
      <c r="B166" s="1" t="n">
        <v>44902</v>
      </c>
      <c r="C166" s="1" t="n">
        <v>46200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35046-2023</t>
        </is>
      </c>
      <c r="B167" s="1" t="n">
        <v>45145</v>
      </c>
      <c r="C167" s="1" t="n">
        <v>46200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37210-2023</t>
        </is>
      </c>
      <c r="B168" s="1" t="n">
        <v>45155</v>
      </c>
      <c r="C168" s="1" t="n">
        <v>46200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53349-2022</t>
        </is>
      </c>
      <c r="B169" s="1" t="n">
        <v>44879</v>
      </c>
      <c r="C169" s="1" t="n">
        <v>46200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13074-2025</t>
        </is>
      </c>
      <c r="B170" s="1" t="n">
        <v>45734</v>
      </c>
      <c r="C170" s="1" t="n">
        <v>46200</v>
      </c>
      <c r="D170" t="inlineStr">
        <is>
          <t>KALMAR LÄN</t>
        </is>
      </c>
      <c r="E170" t="inlineStr">
        <is>
          <t>TORSÅS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49129-2023</t>
        </is>
      </c>
      <c r="B171" s="1" t="n">
        <v>45210</v>
      </c>
      <c r="C171" s="1" t="n">
        <v>46200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58439-2023</t>
        </is>
      </c>
      <c r="B172" s="1" t="n">
        <v>45250</v>
      </c>
      <c r="C172" s="1" t="n">
        <v>46200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2150-2024</t>
        </is>
      </c>
      <c r="B173" s="1" t="n">
        <v>45309</v>
      </c>
      <c r="C173" s="1" t="n">
        <v>46200</v>
      </c>
      <c r="D173" t="inlineStr">
        <is>
          <t>KALMAR LÄN</t>
        </is>
      </c>
      <c r="E173" t="inlineStr">
        <is>
          <t>TORSÅS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55675-2021</t>
        </is>
      </c>
      <c r="B174" s="1" t="n">
        <v>44476</v>
      </c>
      <c r="C174" s="1" t="n">
        <v>46200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16446-2022</t>
        </is>
      </c>
      <c r="B175" s="1" t="n">
        <v>44671</v>
      </c>
      <c r="C175" s="1" t="n">
        <v>46200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12163-2023</t>
        </is>
      </c>
      <c r="B176" s="1" t="n">
        <v>44998</v>
      </c>
      <c r="C176" s="1" t="n">
        <v>46200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42909-2023</t>
        </is>
      </c>
      <c r="B177" s="1" t="n">
        <v>45182</v>
      </c>
      <c r="C177" s="1" t="n">
        <v>46200</v>
      </c>
      <c r="D177" t="inlineStr">
        <is>
          <t>KALMAR LÄN</t>
        </is>
      </c>
      <c r="E177" t="inlineStr">
        <is>
          <t>TORSÅS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4925-2022</t>
        </is>
      </c>
      <c r="B178" s="1" t="n">
        <v>44593</v>
      </c>
      <c r="C178" s="1" t="n">
        <v>46200</v>
      </c>
      <c r="D178" t="inlineStr">
        <is>
          <t>KALMAR LÄN</t>
        </is>
      </c>
      <c r="E178" t="inlineStr">
        <is>
          <t>TORSÅS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10472-2023</t>
        </is>
      </c>
      <c r="B179" s="1" t="n">
        <v>44987</v>
      </c>
      <c r="C179" s="1" t="n">
        <v>46200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35048-2023</t>
        </is>
      </c>
      <c r="B180" s="1" t="n">
        <v>45145</v>
      </c>
      <c r="C180" s="1" t="n">
        <v>46200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19789-2023</t>
        </is>
      </c>
      <c r="B181" s="1" t="n">
        <v>45051</v>
      </c>
      <c r="C181" s="1" t="n">
        <v>46200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60742-2023</t>
        </is>
      </c>
      <c r="B182" s="1" t="n">
        <v>45260</v>
      </c>
      <c r="C182" s="1" t="n">
        <v>46200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4898-2023</t>
        </is>
      </c>
      <c r="B183" s="1" t="n">
        <v>44958</v>
      </c>
      <c r="C183" s="1" t="n">
        <v>46200</v>
      </c>
      <c r="D183" t="inlineStr">
        <is>
          <t>KALMAR LÄN</t>
        </is>
      </c>
      <c r="E183" t="inlineStr">
        <is>
          <t>TORSÅS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38955-2021</t>
        </is>
      </c>
      <c r="B184" s="1" t="n">
        <v>44411</v>
      </c>
      <c r="C184" s="1" t="n">
        <v>46200</v>
      </c>
      <c r="D184" t="inlineStr">
        <is>
          <t>KALMAR LÄN</t>
        </is>
      </c>
      <c r="E184" t="inlineStr">
        <is>
          <t>TORSÅS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43066-2024</t>
        </is>
      </c>
      <c r="B185" s="1" t="n">
        <v>45567</v>
      </c>
      <c r="C185" s="1" t="n">
        <v>46200</v>
      </c>
      <c r="D185" t="inlineStr">
        <is>
          <t>KALMAR LÄN</t>
        </is>
      </c>
      <c r="E185" t="inlineStr">
        <is>
          <t>TORSÅS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51274-2023</t>
        </is>
      </c>
      <c r="B186" s="1" t="n">
        <v>45219</v>
      </c>
      <c r="C186" s="1" t="n">
        <v>46200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51275-2023</t>
        </is>
      </c>
      <c r="B187" s="1" t="n">
        <v>45219</v>
      </c>
      <c r="C187" s="1" t="n">
        <v>46200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46607-2023</t>
        </is>
      </c>
      <c r="B188" s="1" t="n">
        <v>45198</v>
      </c>
      <c r="C188" s="1" t="n">
        <v>46200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56317-2024</t>
        </is>
      </c>
      <c r="B189" s="1" t="n">
        <v>45624</v>
      </c>
      <c r="C189" s="1" t="n">
        <v>46200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13588-2025</t>
        </is>
      </c>
      <c r="B190" s="1" t="n">
        <v>45736</v>
      </c>
      <c r="C190" s="1" t="n">
        <v>46200</v>
      </c>
      <c r="D190" t="inlineStr">
        <is>
          <t>KALMAR LÄN</t>
        </is>
      </c>
      <c r="E190" t="inlineStr">
        <is>
          <t>TORSÅS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56522-2022</t>
        </is>
      </c>
      <c r="B191" s="1" t="n">
        <v>44893</v>
      </c>
      <c r="C191" s="1" t="n">
        <v>46200</v>
      </c>
      <c r="D191" t="inlineStr">
        <is>
          <t>KALMAR LÄN</t>
        </is>
      </c>
      <c r="E191" t="inlineStr">
        <is>
          <t>TORSÅS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4267-2024</t>
        </is>
      </c>
      <c r="B192" s="1" t="n">
        <v>45324</v>
      </c>
      <c r="C192" s="1" t="n">
        <v>46200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59017-2023</t>
        </is>
      </c>
      <c r="B193" s="1" t="n">
        <v>45252</v>
      </c>
      <c r="C193" s="1" t="n">
        <v>46200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38847-2023</t>
        </is>
      </c>
      <c r="B194" s="1" t="n">
        <v>45163</v>
      </c>
      <c r="C194" s="1" t="n">
        <v>46200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38850-2023</t>
        </is>
      </c>
      <c r="B195" s="1" t="n">
        <v>45163</v>
      </c>
      <c r="C195" s="1" t="n">
        <v>46200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41452-2022</t>
        </is>
      </c>
      <c r="B196" s="1" t="n">
        <v>44826</v>
      </c>
      <c r="C196" s="1" t="n">
        <v>46200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24148-2022</t>
        </is>
      </c>
      <c r="B197" s="1" t="n">
        <v>44725</v>
      </c>
      <c r="C197" s="1" t="n">
        <v>46200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6207-2022</t>
        </is>
      </c>
      <c r="B198" s="1" t="n">
        <v>44600</v>
      </c>
      <c r="C198" s="1" t="n">
        <v>46200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5845-2024</t>
        </is>
      </c>
      <c r="B199" s="1" t="n">
        <v>45335</v>
      </c>
      <c r="C199" s="1" t="n">
        <v>46200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27546-2024</t>
        </is>
      </c>
      <c r="B200" s="1" t="n">
        <v>45474</v>
      </c>
      <c r="C200" s="1" t="n">
        <v>46200</v>
      </c>
      <c r="D200" t="inlineStr">
        <is>
          <t>KALMAR LÄN</t>
        </is>
      </c>
      <c r="E200" t="inlineStr">
        <is>
          <t>TORSÅS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16409-2023</t>
        </is>
      </c>
      <c r="B201" s="1" t="n">
        <v>45029</v>
      </c>
      <c r="C201" s="1" t="n">
        <v>46200</v>
      </c>
      <c r="D201" t="inlineStr">
        <is>
          <t>KALMAR LÄN</t>
        </is>
      </c>
      <c r="E201" t="inlineStr">
        <is>
          <t>TORSÅS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27268-2023</t>
        </is>
      </c>
      <c r="B202" s="1" t="n">
        <v>45096</v>
      </c>
      <c r="C202" s="1" t="n">
        <v>46200</v>
      </c>
      <c r="D202" t="inlineStr">
        <is>
          <t>KALMAR LÄN</t>
        </is>
      </c>
      <c r="E202" t="inlineStr">
        <is>
          <t>TORSÅS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19587-2023</t>
        </is>
      </c>
      <c r="B203" s="1" t="n">
        <v>45050</v>
      </c>
      <c r="C203" s="1" t="n">
        <v>46200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46082-2023</t>
        </is>
      </c>
      <c r="B204" s="1" t="n">
        <v>45196</v>
      </c>
      <c r="C204" s="1" t="n">
        <v>46200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68493-2021</t>
        </is>
      </c>
      <c r="B205" s="1" t="n">
        <v>44529</v>
      </c>
      <c r="C205" s="1" t="n">
        <v>46200</v>
      </c>
      <c r="D205" t="inlineStr">
        <is>
          <t>KALMAR LÄN</t>
        </is>
      </c>
      <c r="E205" t="inlineStr">
        <is>
          <t>TORSÅS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48546-2023</t>
        </is>
      </c>
      <c r="B206" s="1" t="n">
        <v>45208</v>
      </c>
      <c r="C206" s="1" t="n">
        <v>46200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45556-2023</t>
        </is>
      </c>
      <c r="B207" s="1" t="n">
        <v>45194</v>
      </c>
      <c r="C207" s="1" t="n">
        <v>46200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52252-2023</t>
        </is>
      </c>
      <c r="B208" s="1" t="n">
        <v>45224</v>
      </c>
      <c r="C208" s="1" t="n">
        <v>46200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</v>
      </c>
      <c r="C209" s="1" t="n">
        <v>46200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58804-2023</t>
        </is>
      </c>
      <c r="B210" s="1" t="n">
        <v>45252</v>
      </c>
      <c r="C210" s="1" t="n">
        <v>46200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6819-2023</t>
        </is>
      </c>
      <c r="B211" s="1" t="n">
        <v>44967</v>
      </c>
      <c r="C211" s="1" t="n">
        <v>46200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45690-2023</t>
        </is>
      </c>
      <c r="B212" s="1" t="n">
        <v>45195</v>
      </c>
      <c r="C212" s="1" t="n">
        <v>46200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30867-2023</t>
        </is>
      </c>
      <c r="B213" s="1" t="n">
        <v>45113</v>
      </c>
      <c r="C213" s="1" t="n">
        <v>46200</v>
      </c>
      <c r="D213" t="inlineStr">
        <is>
          <t>KALMAR LÄN</t>
        </is>
      </c>
      <c r="E213" t="inlineStr">
        <is>
          <t>TORSÅS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30874-2023</t>
        </is>
      </c>
      <c r="B214" s="1" t="n">
        <v>45113</v>
      </c>
      <c r="C214" s="1" t="n">
        <v>46200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59284-2021</t>
        </is>
      </c>
      <c r="B215" s="1" t="n">
        <v>44490</v>
      </c>
      <c r="C215" s="1" t="n">
        <v>46200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16498-2024</t>
        </is>
      </c>
      <c r="B216" s="1" t="n">
        <v>45408</v>
      </c>
      <c r="C216" s="1" t="n">
        <v>46200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38454-2024</t>
        </is>
      </c>
      <c r="B217" s="1" t="n">
        <v>45546</v>
      </c>
      <c r="C217" s="1" t="n">
        <v>46200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5188-2024</t>
        </is>
      </c>
      <c r="B218" s="1" t="n">
        <v>45330</v>
      </c>
      <c r="C218" s="1" t="n">
        <v>46200</v>
      </c>
      <c r="D218" t="inlineStr">
        <is>
          <t>KALMAR LÄN</t>
        </is>
      </c>
      <c r="E218" t="inlineStr">
        <is>
          <t>TORSÅS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9757-2023</t>
        </is>
      </c>
      <c r="B219" s="1" t="n">
        <v>44984</v>
      </c>
      <c r="C219" s="1" t="n">
        <v>46200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22564-2024</t>
        </is>
      </c>
      <c r="B220" s="1" t="n">
        <v>45447</v>
      </c>
      <c r="C220" s="1" t="n">
        <v>46200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6225-2022</t>
        </is>
      </c>
      <c r="B221" s="1" t="n">
        <v>44600</v>
      </c>
      <c r="C221" s="1" t="n">
        <v>46200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2136-2025</t>
        </is>
      </c>
      <c r="B222" s="1" t="n">
        <v>45672</v>
      </c>
      <c r="C222" s="1" t="n">
        <v>46200</v>
      </c>
      <c r="D222" t="inlineStr">
        <is>
          <t>KALMAR LÄN</t>
        </is>
      </c>
      <c r="E222" t="inlineStr">
        <is>
          <t>TORSÅS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8479-2022</t>
        </is>
      </c>
      <c r="B223" s="1" t="n">
        <v>44613</v>
      </c>
      <c r="C223" s="1" t="n">
        <v>46200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5958-2025</t>
        </is>
      </c>
      <c r="B224" s="1" t="n">
        <v>45695</v>
      </c>
      <c r="C224" s="1" t="n">
        <v>46200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26696-2023</t>
        </is>
      </c>
      <c r="B225" s="1" t="n">
        <v>45093</v>
      </c>
      <c r="C225" s="1" t="n">
        <v>46200</v>
      </c>
      <c r="D225" t="inlineStr">
        <is>
          <t>KALMAR LÄN</t>
        </is>
      </c>
      <c r="E225" t="inlineStr">
        <is>
          <t>TORSÅS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35708-2024</t>
        </is>
      </c>
      <c r="B226" s="1" t="n">
        <v>45532</v>
      </c>
      <c r="C226" s="1" t="n">
        <v>46200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26707-2023</t>
        </is>
      </c>
      <c r="B227" s="1" t="n">
        <v>45093</v>
      </c>
      <c r="C227" s="1" t="n">
        <v>46200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21577-2022</t>
        </is>
      </c>
      <c r="B228" s="1" t="n">
        <v>44706</v>
      </c>
      <c r="C228" s="1" t="n">
        <v>46200</v>
      </c>
      <c r="D228" t="inlineStr">
        <is>
          <t>KALMAR LÄN</t>
        </is>
      </c>
      <c r="E228" t="inlineStr">
        <is>
          <t>TORSÅS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2187-2023</t>
        </is>
      </c>
      <c r="B229" s="1" t="n">
        <v>44942</v>
      </c>
      <c r="C229" s="1" t="n">
        <v>46200</v>
      </c>
      <c r="D229" t="inlineStr">
        <is>
          <t>KALMAR LÄN</t>
        </is>
      </c>
      <c r="E229" t="inlineStr">
        <is>
          <t>TORSÅS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16263-2024</t>
        </is>
      </c>
      <c r="B230" s="1" t="n">
        <v>45407</v>
      </c>
      <c r="C230" s="1" t="n">
        <v>46200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5104-2024</t>
        </is>
      </c>
      <c r="B231" s="1" t="n">
        <v>45330</v>
      </c>
      <c r="C231" s="1" t="n">
        <v>46200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14937-2022</t>
        </is>
      </c>
      <c r="B232" s="1" t="n">
        <v>44657</v>
      </c>
      <c r="C232" s="1" t="n">
        <v>46200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53976-2022</t>
        </is>
      </c>
      <c r="B233" s="1" t="n">
        <v>44881</v>
      </c>
      <c r="C233" s="1" t="n">
        <v>46200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4729-2024</t>
        </is>
      </c>
      <c r="B234" s="1" t="n">
        <v>45328</v>
      </c>
      <c r="C234" s="1" t="n">
        <v>46200</v>
      </c>
      <c r="D234" t="inlineStr">
        <is>
          <t>KALMAR LÄN</t>
        </is>
      </c>
      <c r="E234" t="inlineStr">
        <is>
          <t>TORSÅS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52659-2024</t>
        </is>
      </c>
      <c r="B235" s="1" t="n">
        <v>45610</v>
      </c>
      <c r="C235" s="1" t="n">
        <v>46200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12159-2023</t>
        </is>
      </c>
      <c r="B236" s="1" t="n">
        <v>44998</v>
      </c>
      <c r="C236" s="1" t="n">
        <v>46200</v>
      </c>
      <c r="D236" t="inlineStr">
        <is>
          <t>KALMAR LÄN</t>
        </is>
      </c>
      <c r="E236" t="inlineStr">
        <is>
          <t>TORSÅS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12958-2023</t>
        </is>
      </c>
      <c r="B237" s="1" t="n">
        <v>45001</v>
      </c>
      <c r="C237" s="1" t="n">
        <v>46200</v>
      </c>
      <c r="D237" t="inlineStr">
        <is>
          <t>KALMAR LÄN</t>
        </is>
      </c>
      <c r="E237" t="inlineStr">
        <is>
          <t>TORSÅS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1663-2023</t>
        </is>
      </c>
      <c r="B238" s="1" t="n">
        <v>44938</v>
      </c>
      <c r="C238" s="1" t="n">
        <v>46200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49330-2022</t>
        </is>
      </c>
      <c r="B239" s="1" t="n">
        <v>44861</v>
      </c>
      <c r="C239" s="1" t="n">
        <v>46200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51781-2023</t>
        </is>
      </c>
      <c r="B240" s="1" t="n">
        <v>45222</v>
      </c>
      <c r="C240" s="1" t="n">
        <v>46200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45568-2023</t>
        </is>
      </c>
      <c r="B241" s="1" t="n">
        <v>45194</v>
      </c>
      <c r="C241" s="1" t="n">
        <v>46200</v>
      </c>
      <c r="D241" t="inlineStr">
        <is>
          <t>KALMAR LÄN</t>
        </is>
      </c>
      <c r="E241" t="inlineStr">
        <is>
          <t>TORSÅS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</v>
      </c>
      <c r="C242" s="1" t="n">
        <v>46200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65651-2021</t>
        </is>
      </c>
      <c r="B243" s="1" t="n">
        <v>44516</v>
      </c>
      <c r="C243" s="1" t="n">
        <v>46200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6366-2023</t>
        </is>
      </c>
      <c r="B244" s="1" t="n">
        <v>44965</v>
      </c>
      <c r="C244" s="1" t="n">
        <v>46200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33602-2023</t>
        </is>
      </c>
      <c r="B245" s="1" t="n">
        <v>45132</v>
      </c>
      <c r="C245" s="1" t="n">
        <v>46200</v>
      </c>
      <c r="D245" t="inlineStr">
        <is>
          <t>KALMAR LÄN</t>
        </is>
      </c>
      <c r="E245" t="inlineStr">
        <is>
          <t>TORSÅS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3389-2023</t>
        </is>
      </c>
      <c r="B246" s="1" t="n">
        <v>44949</v>
      </c>
      <c r="C246" s="1" t="n">
        <v>46200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4863-2024</t>
        </is>
      </c>
      <c r="B247" s="1" t="n">
        <v>45329</v>
      </c>
      <c r="C247" s="1" t="n">
        <v>46200</v>
      </c>
      <c r="D247" t="inlineStr">
        <is>
          <t>KALMAR LÄN</t>
        </is>
      </c>
      <c r="E247" t="inlineStr">
        <is>
          <t>TORSÅS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38114-2023</t>
        </is>
      </c>
      <c r="B248" s="1" t="n">
        <v>45161</v>
      </c>
      <c r="C248" s="1" t="n">
        <v>46200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42897-2023</t>
        </is>
      </c>
      <c r="B249" s="1" t="n">
        <v>45182</v>
      </c>
      <c r="C249" s="1" t="n">
        <v>46200</v>
      </c>
      <c r="D249" t="inlineStr">
        <is>
          <t>KALMAR LÄN</t>
        </is>
      </c>
      <c r="E249" t="inlineStr">
        <is>
          <t>TORSÅS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24666-2023</t>
        </is>
      </c>
      <c r="B250" s="1" t="n">
        <v>45084</v>
      </c>
      <c r="C250" s="1" t="n">
        <v>46200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9676-2024</t>
        </is>
      </c>
      <c r="B251" s="1" t="n">
        <v>45362</v>
      </c>
      <c r="C251" s="1" t="n">
        <v>46200</v>
      </c>
      <c r="D251" t="inlineStr">
        <is>
          <t>KALMAR LÄN</t>
        </is>
      </c>
      <c r="E251" t="inlineStr">
        <is>
          <t>TORSÅS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61260-2024</t>
        </is>
      </c>
      <c r="B252" s="1" t="n">
        <v>45645</v>
      </c>
      <c r="C252" s="1" t="n">
        <v>46200</v>
      </c>
      <c r="D252" t="inlineStr">
        <is>
          <t>KALMAR LÄN</t>
        </is>
      </c>
      <c r="E252" t="inlineStr">
        <is>
          <t>TORSÅS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30869-2023</t>
        </is>
      </c>
      <c r="B253" s="1" t="n">
        <v>45113</v>
      </c>
      <c r="C253" s="1" t="n">
        <v>46200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62101-2021</t>
        </is>
      </c>
      <c r="B254" s="1" t="n">
        <v>44502</v>
      </c>
      <c r="C254" s="1" t="n">
        <v>46200</v>
      </c>
      <c r="D254" t="inlineStr">
        <is>
          <t>KALMAR LÄN</t>
        </is>
      </c>
      <c r="E254" t="inlineStr">
        <is>
          <t>TORSÅS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16152-2023</t>
        </is>
      </c>
      <c r="B255" s="1" t="n">
        <v>45027</v>
      </c>
      <c r="C255" s="1" t="n">
        <v>46200</v>
      </c>
      <c r="D255" t="inlineStr">
        <is>
          <t>KALMAR LÄN</t>
        </is>
      </c>
      <c r="E255" t="inlineStr">
        <is>
          <t>TORSÅS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34432-2023</t>
        </is>
      </c>
      <c r="B256" s="1" t="n">
        <v>45139</v>
      </c>
      <c r="C256" s="1" t="n">
        <v>46200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53571-2021</t>
        </is>
      </c>
      <c r="B257" s="1" t="n">
        <v>44468</v>
      </c>
      <c r="C257" s="1" t="n">
        <v>46200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4016-2024</t>
        </is>
      </c>
      <c r="B258" s="1" t="n">
        <v>45323</v>
      </c>
      <c r="C258" s="1" t="n">
        <v>46200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2132-2025</t>
        </is>
      </c>
      <c r="B259" s="1" t="n">
        <v>45672</v>
      </c>
      <c r="C259" s="1" t="n">
        <v>46200</v>
      </c>
      <c r="D259" t="inlineStr">
        <is>
          <t>KALMAR LÄN</t>
        </is>
      </c>
      <c r="E259" t="inlineStr">
        <is>
          <t>TORSÅS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10704-2024</t>
        </is>
      </c>
      <c r="B260" s="1" t="n">
        <v>45369</v>
      </c>
      <c r="C260" s="1" t="n">
        <v>46200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12951-2023</t>
        </is>
      </c>
      <c r="B261" s="1" t="n">
        <v>45001</v>
      </c>
      <c r="C261" s="1" t="n">
        <v>46200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12954-2023</t>
        </is>
      </c>
      <c r="B262" s="1" t="n">
        <v>45001</v>
      </c>
      <c r="C262" s="1" t="n">
        <v>46200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5113-2023</t>
        </is>
      </c>
      <c r="B263" s="1" t="n">
        <v>44958</v>
      </c>
      <c r="C263" s="1" t="n">
        <v>46200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56311-2024</t>
        </is>
      </c>
      <c r="B264" s="1" t="n">
        <v>45624</v>
      </c>
      <c r="C264" s="1" t="n">
        <v>46200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26700-2023</t>
        </is>
      </c>
      <c r="B265" s="1" t="n">
        <v>45093</v>
      </c>
      <c r="C265" s="1" t="n">
        <v>46200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58274-2023</t>
        </is>
      </c>
      <c r="B266" s="1" t="n">
        <v>45250</v>
      </c>
      <c r="C266" s="1" t="n">
        <v>46200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58441-2023</t>
        </is>
      </c>
      <c r="B267" s="1" t="n">
        <v>45250</v>
      </c>
      <c r="C267" s="1" t="n">
        <v>46200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40569-2021</t>
        </is>
      </c>
      <c r="B268" s="1" t="n">
        <v>44420</v>
      </c>
      <c r="C268" s="1" t="n">
        <v>46200</v>
      </c>
      <c r="D268" t="inlineStr">
        <is>
          <t>KALMAR LÄN</t>
        </is>
      </c>
      <c r="E268" t="inlineStr">
        <is>
          <t>TORSÅS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59275-2023</t>
        </is>
      </c>
      <c r="B269" s="1" t="n">
        <v>45253</v>
      </c>
      <c r="C269" s="1" t="n">
        <v>46200</v>
      </c>
      <c r="D269" t="inlineStr">
        <is>
          <t>KALMAR LÄN</t>
        </is>
      </c>
      <c r="E269" t="inlineStr">
        <is>
          <t>TORSÅS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56366-2023</t>
        </is>
      </c>
      <c r="B270" s="1" t="n">
        <v>45243</v>
      </c>
      <c r="C270" s="1" t="n">
        <v>46200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28945-2025</t>
        </is>
      </c>
      <c r="B271" s="1" t="n">
        <v>45820</v>
      </c>
      <c r="C271" s="1" t="n">
        <v>46200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29636-2025</t>
        </is>
      </c>
      <c r="B272" s="1" t="n">
        <v>45825</v>
      </c>
      <c r="C272" s="1" t="n">
        <v>46200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30225-2025</t>
        </is>
      </c>
      <c r="B273" s="1" t="n">
        <v>45827</v>
      </c>
      <c r="C273" s="1" t="n">
        <v>46200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26491-2022</t>
        </is>
      </c>
      <c r="B274" s="1" t="n">
        <v>44739</v>
      </c>
      <c r="C274" s="1" t="n">
        <v>46200</v>
      </c>
      <c r="D274" t="inlineStr">
        <is>
          <t>KALMAR LÄN</t>
        </is>
      </c>
      <c r="E274" t="inlineStr">
        <is>
          <t>TORSÅS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8405-2024</t>
        </is>
      </c>
      <c r="B275" s="1" t="n">
        <v>45352</v>
      </c>
      <c r="C275" s="1" t="n">
        <v>46200</v>
      </c>
      <c r="D275" t="inlineStr">
        <is>
          <t>KALMAR LÄN</t>
        </is>
      </c>
      <c r="E275" t="inlineStr">
        <is>
          <t>TORSÅS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30871-2023</t>
        </is>
      </c>
      <c r="B276" s="1" t="n">
        <v>45113</v>
      </c>
      <c r="C276" s="1" t="n">
        <v>46200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30875-2023</t>
        </is>
      </c>
      <c r="B277" s="1" t="n">
        <v>45113</v>
      </c>
      <c r="C277" s="1" t="n">
        <v>46200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29889-2025</t>
        </is>
      </c>
      <c r="B278" s="1" t="n">
        <v>45826</v>
      </c>
      <c r="C278" s="1" t="n">
        <v>46200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19943-2023</t>
        </is>
      </c>
      <c r="B279" s="1" t="n">
        <v>45054</v>
      </c>
      <c r="C279" s="1" t="n">
        <v>46200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23776-2022</t>
        </is>
      </c>
      <c r="B280" s="1" t="n">
        <v>44722</v>
      </c>
      <c r="C280" s="1" t="n">
        <v>46200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50208-2021</t>
        </is>
      </c>
      <c r="B281" s="1" t="n">
        <v>44457</v>
      </c>
      <c r="C281" s="1" t="n">
        <v>46200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44839-2022</t>
        </is>
      </c>
      <c r="B282" s="1" t="n">
        <v>44841</v>
      </c>
      <c r="C282" s="1" t="n">
        <v>46200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45555-2023</t>
        </is>
      </c>
      <c r="B283" s="1" t="n">
        <v>45194</v>
      </c>
      <c r="C283" s="1" t="n">
        <v>46200</v>
      </c>
      <c r="D283" t="inlineStr">
        <is>
          <t>KALMAR LÄN</t>
        </is>
      </c>
      <c r="E283" t="inlineStr">
        <is>
          <t>TORSÅS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46572-2023</t>
        </is>
      </c>
      <c r="B284" s="1" t="n">
        <v>45198</v>
      </c>
      <c r="C284" s="1" t="n">
        <v>46200</v>
      </c>
      <c r="D284" t="inlineStr">
        <is>
          <t>KALMAR LÄN</t>
        </is>
      </c>
      <c r="E284" t="inlineStr">
        <is>
          <t>TORSÅS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60055-2021</t>
        </is>
      </c>
      <c r="B285" s="1" t="n">
        <v>44495</v>
      </c>
      <c r="C285" s="1" t="n">
        <v>46200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32922-2025</t>
        </is>
      </c>
      <c r="B286" s="1" t="n">
        <v>45839</v>
      </c>
      <c r="C286" s="1" t="n">
        <v>46200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9793-2025</t>
        </is>
      </c>
      <c r="B287" s="1" t="n">
        <v>45716</v>
      </c>
      <c r="C287" s="1" t="n">
        <v>46200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40046-2023</t>
        </is>
      </c>
      <c r="B288" s="1" t="n">
        <v>45167</v>
      </c>
      <c r="C288" s="1" t="n">
        <v>46200</v>
      </c>
      <c r="D288" t="inlineStr">
        <is>
          <t>KALMAR LÄN</t>
        </is>
      </c>
      <c r="E288" t="inlineStr">
        <is>
          <t>TORSÅS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40047-2023</t>
        </is>
      </c>
      <c r="B289" s="1" t="n">
        <v>45167</v>
      </c>
      <c r="C289" s="1" t="n">
        <v>46200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48526-2023</t>
        </is>
      </c>
      <c r="B290" s="1" t="n">
        <v>45208</v>
      </c>
      <c r="C290" s="1" t="n">
        <v>46200</v>
      </c>
      <c r="D290" t="inlineStr">
        <is>
          <t>KALMAR LÄN</t>
        </is>
      </c>
      <c r="E290" t="inlineStr">
        <is>
          <t>TORSÅS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48543-2023</t>
        </is>
      </c>
      <c r="B291" s="1" t="n">
        <v>45208</v>
      </c>
      <c r="C291" s="1" t="n">
        <v>46200</v>
      </c>
      <c r="D291" t="inlineStr">
        <is>
          <t>KALMAR LÄN</t>
        </is>
      </c>
      <c r="E291" t="inlineStr">
        <is>
          <t>TORSÅS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18045-2023</t>
        </is>
      </c>
      <c r="B292" s="1" t="n">
        <v>45040</v>
      </c>
      <c r="C292" s="1" t="n">
        <v>46200</v>
      </c>
      <c r="D292" t="inlineStr">
        <is>
          <t>KALMAR LÄN</t>
        </is>
      </c>
      <c r="E292" t="inlineStr">
        <is>
          <t>TORSÅS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8426-2023</t>
        </is>
      </c>
      <c r="B293" s="1" t="n">
        <v>44977</v>
      </c>
      <c r="C293" s="1" t="n">
        <v>46200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33939-2022</t>
        </is>
      </c>
      <c r="B294" s="1" t="n">
        <v>44790</v>
      </c>
      <c r="C294" s="1" t="n">
        <v>46200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65155-2023</t>
        </is>
      </c>
      <c r="B295" s="1" t="n">
        <v>45288</v>
      </c>
      <c r="C295" s="1" t="n">
        <v>46200</v>
      </c>
      <c r="D295" t="inlineStr">
        <is>
          <t>KALMAR LÄN</t>
        </is>
      </c>
      <c r="E295" t="inlineStr">
        <is>
          <t>TORSÅS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53337-2024</t>
        </is>
      </c>
      <c r="B296" s="1" t="n">
        <v>45614</v>
      </c>
      <c r="C296" s="1" t="n">
        <v>46200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10062-2023</t>
        </is>
      </c>
      <c r="B297" s="1" t="n">
        <v>44985</v>
      </c>
      <c r="C297" s="1" t="n">
        <v>46200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26711-2023</t>
        </is>
      </c>
      <c r="B298" s="1" t="n">
        <v>45093</v>
      </c>
      <c r="C298" s="1" t="n">
        <v>46200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26714-2023</t>
        </is>
      </c>
      <c r="B299" s="1" t="n">
        <v>45093</v>
      </c>
      <c r="C299" s="1" t="n">
        <v>46200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18694-2024</t>
        </is>
      </c>
      <c r="B300" s="1" t="n">
        <v>45426</v>
      </c>
      <c r="C300" s="1" t="n">
        <v>46200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42912-2023</t>
        </is>
      </c>
      <c r="B301" s="1" t="n">
        <v>45182</v>
      </c>
      <c r="C301" s="1" t="n">
        <v>46200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10351-2025</t>
        </is>
      </c>
      <c r="B302" s="1" t="n">
        <v>45720</v>
      </c>
      <c r="C302" s="1" t="n">
        <v>46200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20714-2023</t>
        </is>
      </c>
      <c r="B303" s="1" t="n">
        <v>45058</v>
      </c>
      <c r="C303" s="1" t="n">
        <v>46200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15749-2024</t>
        </is>
      </c>
      <c r="B304" s="1" t="n">
        <v>45404</v>
      </c>
      <c r="C304" s="1" t="n">
        <v>46200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35771-2025</t>
        </is>
      </c>
      <c r="B305" s="1" t="n">
        <v>45860</v>
      </c>
      <c r="C305" s="1" t="n">
        <v>46200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3373-2023</t>
        </is>
      </c>
      <c r="B306" s="1" t="n">
        <v>44949</v>
      </c>
      <c r="C306" s="1" t="n">
        <v>46200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39728-2024</t>
        </is>
      </c>
      <c r="B307" s="1" t="n">
        <v>45552</v>
      </c>
      <c r="C307" s="1" t="n">
        <v>46200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36526-2025</t>
        </is>
      </c>
      <c r="B308" s="1" t="n">
        <v>45869</v>
      </c>
      <c r="C308" s="1" t="n">
        <v>46200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51771-2023</t>
        </is>
      </c>
      <c r="B309" s="1" t="n">
        <v>45222</v>
      </c>
      <c r="C309" s="1" t="n">
        <v>46200</v>
      </c>
      <c r="D309" t="inlineStr">
        <is>
          <t>KALMAR LÄN</t>
        </is>
      </c>
      <c r="E309" t="inlineStr">
        <is>
          <t>TORSÅS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36525-2025</t>
        </is>
      </c>
      <c r="B310" s="1" t="n">
        <v>45869</v>
      </c>
      <c r="C310" s="1" t="n">
        <v>46200</v>
      </c>
      <c r="D310" t="inlineStr">
        <is>
          <t>KALMAR LÄN</t>
        </is>
      </c>
      <c r="E310" t="inlineStr">
        <is>
          <t>TORSÅS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36527-2025</t>
        </is>
      </c>
      <c r="B311" s="1" t="n">
        <v>45869</v>
      </c>
      <c r="C311" s="1" t="n">
        <v>46200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3554-2023</t>
        </is>
      </c>
      <c r="B312" s="1" t="n">
        <v>44950</v>
      </c>
      <c r="C312" s="1" t="n">
        <v>46200</v>
      </c>
      <c r="D312" t="inlineStr">
        <is>
          <t>KALMAR LÄN</t>
        </is>
      </c>
      <c r="E312" t="inlineStr">
        <is>
          <t>TORSÅS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10260-2023</t>
        </is>
      </c>
      <c r="B313" s="1" t="n">
        <v>44986</v>
      </c>
      <c r="C313" s="1" t="n">
        <v>46200</v>
      </c>
      <c r="D313" t="inlineStr">
        <is>
          <t>KALMAR LÄN</t>
        </is>
      </c>
      <c r="E313" t="inlineStr">
        <is>
          <t>TORSÅS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38487-2025</t>
        </is>
      </c>
      <c r="B314" s="1" t="n">
        <v>45884</v>
      </c>
      <c r="C314" s="1" t="n">
        <v>46200</v>
      </c>
      <c r="D314" t="inlineStr">
        <is>
          <t>KALMAR LÄN</t>
        </is>
      </c>
      <c r="E314" t="inlineStr">
        <is>
          <t>TORSÅS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9124-2025</t>
        </is>
      </c>
      <c r="B315" s="1" t="n">
        <v>45713</v>
      </c>
      <c r="C315" s="1" t="n">
        <v>46200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532-2024</t>
        </is>
      </c>
      <c r="B316" s="1" t="n">
        <v>45299</v>
      </c>
      <c r="C316" s="1" t="n">
        <v>46200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33144-2024</t>
        </is>
      </c>
      <c r="B317" s="1" t="n">
        <v>45518</v>
      </c>
      <c r="C317" s="1" t="n">
        <v>46200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37622-2025</t>
        </is>
      </c>
      <c r="B318" s="1" t="n">
        <v>45880</v>
      </c>
      <c r="C318" s="1" t="n">
        <v>46200</v>
      </c>
      <c r="D318" t="inlineStr">
        <is>
          <t>KALMAR LÄN</t>
        </is>
      </c>
      <c r="E318" t="inlineStr">
        <is>
          <t>TORSÅS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8975-2025</t>
        </is>
      </c>
      <c r="B319" s="1" t="n">
        <v>45713</v>
      </c>
      <c r="C319" s="1" t="n">
        <v>46200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13930-2023</t>
        </is>
      </c>
      <c r="B320" s="1" t="n">
        <v>45008</v>
      </c>
      <c r="C320" s="1" t="n">
        <v>46200</v>
      </c>
      <c r="D320" t="inlineStr">
        <is>
          <t>KALMAR LÄN</t>
        </is>
      </c>
      <c r="E320" t="inlineStr">
        <is>
          <t>TORSÅS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27507-2024</t>
        </is>
      </c>
      <c r="B321" s="1" t="n">
        <v>45474</v>
      </c>
      <c r="C321" s="1" t="n">
        <v>46200</v>
      </c>
      <c r="D321" t="inlineStr">
        <is>
          <t>KALMAR LÄN</t>
        </is>
      </c>
      <c r="E321" t="inlineStr">
        <is>
          <t>TORSÅS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5771-2025</t>
        </is>
      </c>
      <c r="B322" s="1" t="n">
        <v>45694</v>
      </c>
      <c r="C322" s="1" t="n">
        <v>46200</v>
      </c>
      <c r="D322" t="inlineStr">
        <is>
          <t>KALMAR LÄN</t>
        </is>
      </c>
      <c r="E322" t="inlineStr">
        <is>
          <t>TORSÅS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37626-2025</t>
        </is>
      </c>
      <c r="B323" s="1" t="n">
        <v>45880</v>
      </c>
      <c r="C323" s="1" t="n">
        <v>46200</v>
      </c>
      <c r="D323" t="inlineStr">
        <is>
          <t>KALMAR LÄN</t>
        </is>
      </c>
      <c r="E323" t="inlineStr">
        <is>
          <t>TORSÅS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42172-2023</t>
        </is>
      </c>
      <c r="B324" s="1" t="n">
        <v>45178</v>
      </c>
      <c r="C324" s="1" t="n">
        <v>46200</v>
      </c>
      <c r="D324" t="inlineStr">
        <is>
          <t>KALMAR LÄN</t>
        </is>
      </c>
      <c r="E324" t="inlineStr">
        <is>
          <t>TORSÅS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12240-2022</t>
        </is>
      </c>
      <c r="B325" s="1" t="n">
        <v>44637</v>
      </c>
      <c r="C325" s="1" t="n">
        <v>46200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58038-2022</t>
        </is>
      </c>
      <c r="B326" s="1" t="n">
        <v>44900</v>
      </c>
      <c r="C326" s="1" t="n">
        <v>46200</v>
      </c>
      <c r="D326" t="inlineStr">
        <is>
          <t>KALMAR LÄN</t>
        </is>
      </c>
      <c r="E326" t="inlineStr">
        <is>
          <t>TORSÅS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5959-2025</t>
        </is>
      </c>
      <c r="B327" s="1" t="n">
        <v>45695</v>
      </c>
      <c r="C327" s="1" t="n">
        <v>46200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784-2025</t>
        </is>
      </c>
      <c r="B328" s="1" t="n">
        <v>45665</v>
      </c>
      <c r="C328" s="1" t="n">
        <v>46200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22232-2025</t>
        </is>
      </c>
      <c r="B329" s="1" t="n">
        <v>45785</v>
      </c>
      <c r="C329" s="1" t="n">
        <v>46200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61105-2024</t>
        </is>
      </c>
      <c r="B330" s="1" t="n">
        <v>45645</v>
      </c>
      <c r="C330" s="1" t="n">
        <v>46200</v>
      </c>
      <c r="D330" t="inlineStr">
        <is>
          <t>KALMAR LÄN</t>
        </is>
      </c>
      <c r="E330" t="inlineStr">
        <is>
          <t>TORSÅS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46751-2022</t>
        </is>
      </c>
      <c r="B331" s="1" t="n">
        <v>44851</v>
      </c>
      <c r="C331" s="1" t="n">
        <v>46200</v>
      </c>
      <c r="D331" t="inlineStr">
        <is>
          <t>KALMAR LÄN</t>
        </is>
      </c>
      <c r="E331" t="inlineStr">
        <is>
          <t>TORSÅS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66543-2021</t>
        </is>
      </c>
      <c r="B332" s="1" t="n">
        <v>44519</v>
      </c>
      <c r="C332" s="1" t="n">
        <v>46200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14366-2023</t>
        </is>
      </c>
      <c r="B333" s="1" t="n">
        <v>45012</v>
      </c>
      <c r="C333" s="1" t="n">
        <v>46200</v>
      </c>
      <c r="D333" t="inlineStr">
        <is>
          <t>KALMAR LÄN</t>
        </is>
      </c>
      <c r="E333" t="inlineStr">
        <is>
          <t>TORSÅS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40298-2025</t>
        </is>
      </c>
      <c r="B334" s="1" t="n">
        <v>45895</v>
      </c>
      <c r="C334" s="1" t="n">
        <v>46200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8348-2025</t>
        </is>
      </c>
      <c r="B335" s="1" t="n">
        <v>45708</v>
      </c>
      <c r="C335" s="1" t="n">
        <v>46200</v>
      </c>
      <c r="D335" t="inlineStr">
        <is>
          <t>KALMAR LÄN</t>
        </is>
      </c>
      <c r="E335" t="inlineStr">
        <is>
          <t>TORSÅS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64348-2021</t>
        </is>
      </c>
      <c r="B336" s="1" t="n">
        <v>44511</v>
      </c>
      <c r="C336" s="1" t="n">
        <v>46200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51022-2025</t>
        </is>
      </c>
      <c r="B337" s="1" t="n">
        <v>45947</v>
      </c>
      <c r="C337" s="1" t="n">
        <v>46200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50675-2024</t>
        </is>
      </c>
      <c r="B338" s="1" t="n">
        <v>45601</v>
      </c>
      <c r="C338" s="1" t="n">
        <v>46200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50962-2025</t>
        </is>
      </c>
      <c r="B339" s="1" t="n">
        <v>45946</v>
      </c>
      <c r="C339" s="1" t="n">
        <v>46200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12591-2022</t>
        </is>
      </c>
      <c r="B340" s="1" t="n">
        <v>44640</v>
      </c>
      <c r="C340" s="1" t="n">
        <v>46200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5107-2024</t>
        </is>
      </c>
      <c r="B341" s="1" t="n">
        <v>45330</v>
      </c>
      <c r="C341" s="1" t="n">
        <v>46200</v>
      </c>
      <c r="D341" t="inlineStr">
        <is>
          <t>KALMAR LÄN</t>
        </is>
      </c>
      <c r="E341" t="inlineStr">
        <is>
          <t>TORSÅS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27504-2024</t>
        </is>
      </c>
      <c r="B342" s="1" t="n">
        <v>45474</v>
      </c>
      <c r="C342" s="1" t="n">
        <v>46200</v>
      </c>
      <c r="D342" t="inlineStr">
        <is>
          <t>KALMAR LÄN</t>
        </is>
      </c>
      <c r="E342" t="inlineStr">
        <is>
          <t>TORSÅS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17523-2022</t>
        </is>
      </c>
      <c r="B343" s="1" t="n">
        <v>44679</v>
      </c>
      <c r="C343" s="1" t="n">
        <v>46200</v>
      </c>
      <c r="D343" t="inlineStr">
        <is>
          <t>KALMAR LÄN</t>
        </is>
      </c>
      <c r="E343" t="inlineStr">
        <is>
          <t>TORSÅS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34956-2024</t>
        </is>
      </c>
      <c r="B344" s="1" t="n">
        <v>45527</v>
      </c>
      <c r="C344" s="1" t="n">
        <v>46200</v>
      </c>
      <c r="D344" t="inlineStr">
        <is>
          <t>KALMAR LÄN</t>
        </is>
      </c>
      <c r="E344" t="inlineStr">
        <is>
          <t>TORSÅS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24471-2023</t>
        </is>
      </c>
      <c r="B345" s="1" t="n">
        <v>45082</v>
      </c>
      <c r="C345" s="1" t="n">
        <v>46200</v>
      </c>
      <c r="D345" t="inlineStr">
        <is>
          <t>KALMAR LÄN</t>
        </is>
      </c>
      <c r="E345" t="inlineStr">
        <is>
          <t>TORSÅS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786-2025</t>
        </is>
      </c>
      <c r="B346" s="1" t="n">
        <v>45665</v>
      </c>
      <c r="C346" s="1" t="n">
        <v>46200</v>
      </c>
      <c r="D346" t="inlineStr">
        <is>
          <t>KALMAR LÄN</t>
        </is>
      </c>
      <c r="E346" t="inlineStr">
        <is>
          <t>TORSÅS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51643-2025</t>
        </is>
      </c>
      <c r="B347" s="1" t="n">
        <v>45951</v>
      </c>
      <c r="C347" s="1" t="n">
        <v>46200</v>
      </c>
      <c r="D347" t="inlineStr">
        <is>
          <t>KALMAR LÄN</t>
        </is>
      </c>
      <c r="E347" t="inlineStr">
        <is>
          <t>TORSÅS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18718-2024</t>
        </is>
      </c>
      <c r="B348" s="1" t="n">
        <v>45426</v>
      </c>
      <c r="C348" s="1" t="n">
        <v>46200</v>
      </c>
      <c r="D348" t="inlineStr">
        <is>
          <t>KALMAR LÄN</t>
        </is>
      </c>
      <c r="E348" t="inlineStr">
        <is>
          <t>TORSÅS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14362-2023</t>
        </is>
      </c>
      <c r="B349" s="1" t="n">
        <v>45012</v>
      </c>
      <c r="C349" s="1" t="n">
        <v>46200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24672-2025</t>
        </is>
      </c>
      <c r="B350" s="1" t="n">
        <v>45798</v>
      </c>
      <c r="C350" s="1" t="n">
        <v>46200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46626-2024</t>
        </is>
      </c>
      <c r="B351" s="1" t="n">
        <v>45583</v>
      </c>
      <c r="C351" s="1" t="n">
        <v>46200</v>
      </c>
      <c r="D351" t="inlineStr">
        <is>
          <t>KALMAR LÄN</t>
        </is>
      </c>
      <c r="E351" t="inlineStr">
        <is>
          <t>TORSÅS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53112-2025</t>
        </is>
      </c>
      <c r="B352" s="1" t="n">
        <v>45958</v>
      </c>
      <c r="C352" s="1" t="n">
        <v>46200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9810-2025</t>
        </is>
      </c>
      <c r="B353" s="1" t="n">
        <v>45716</v>
      </c>
      <c r="C353" s="1" t="n">
        <v>46200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51263-2023</t>
        </is>
      </c>
      <c r="B354" s="1" t="n">
        <v>45219</v>
      </c>
      <c r="C354" s="1" t="n">
        <v>46200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52598-2023</t>
        </is>
      </c>
      <c r="B355" s="1" t="n">
        <v>45225</v>
      </c>
      <c r="C355" s="1" t="n">
        <v>46200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44484-2025</t>
        </is>
      </c>
      <c r="B356" s="1" t="n">
        <v>45916</v>
      </c>
      <c r="C356" s="1" t="n">
        <v>46200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44712-2025</t>
        </is>
      </c>
      <c r="B357" s="1" t="n">
        <v>45917</v>
      </c>
      <c r="C357" s="1" t="n">
        <v>46200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52072-2023</t>
        </is>
      </c>
      <c r="B358" s="1" t="n">
        <v>45223</v>
      </c>
      <c r="C358" s="1" t="n">
        <v>46200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44705-2025</t>
        </is>
      </c>
      <c r="B359" s="1" t="n">
        <v>45917</v>
      </c>
      <c r="C359" s="1" t="n">
        <v>46200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44686-2025</t>
        </is>
      </c>
      <c r="B360" s="1" t="n">
        <v>45917</v>
      </c>
      <c r="C360" s="1" t="n">
        <v>46200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44687-2025</t>
        </is>
      </c>
      <c r="B361" s="1" t="n">
        <v>45917</v>
      </c>
      <c r="C361" s="1" t="n">
        <v>46200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44665-2025</t>
        </is>
      </c>
      <c r="B362" s="1" t="n">
        <v>45917</v>
      </c>
      <c r="C362" s="1" t="n">
        <v>46200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44568-2025</t>
        </is>
      </c>
      <c r="B363" s="1" t="n">
        <v>45917</v>
      </c>
      <c r="C363" s="1" t="n">
        <v>46200</v>
      </c>
      <c r="D363" t="inlineStr">
        <is>
          <t>KALMAR LÄN</t>
        </is>
      </c>
      <c r="E363" t="inlineStr">
        <is>
          <t>TORSÅS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44570-2025</t>
        </is>
      </c>
      <c r="B364" s="1" t="n">
        <v>45917</v>
      </c>
      <c r="C364" s="1" t="n">
        <v>46200</v>
      </c>
      <c r="D364" t="inlineStr">
        <is>
          <t>KALMAR LÄN</t>
        </is>
      </c>
      <c r="E364" t="inlineStr">
        <is>
          <t>TORSÅS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64373-2023</t>
        </is>
      </c>
      <c r="B365" s="1" t="n">
        <v>45280</v>
      </c>
      <c r="C365" s="1" t="n">
        <v>46200</v>
      </c>
      <c r="D365" t="inlineStr">
        <is>
          <t>KALMAR LÄN</t>
        </is>
      </c>
      <c r="E365" t="inlineStr">
        <is>
          <t>TORSÅS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32525-2024</t>
        </is>
      </c>
      <c r="B366" s="1" t="n">
        <v>45513</v>
      </c>
      <c r="C366" s="1" t="n">
        <v>46200</v>
      </c>
      <c r="D366" t="inlineStr">
        <is>
          <t>KALMAR LÄN</t>
        </is>
      </c>
      <c r="E366" t="inlineStr">
        <is>
          <t>TORSÅS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32532-2024</t>
        </is>
      </c>
      <c r="B367" s="1" t="n">
        <v>45513</v>
      </c>
      <c r="C367" s="1" t="n">
        <v>46200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56613-2023</t>
        </is>
      </c>
      <c r="B368" s="1" t="n">
        <v>45243</v>
      </c>
      <c r="C368" s="1" t="n">
        <v>46200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54979-2025</t>
        </is>
      </c>
      <c r="B369" s="1" t="n">
        <v>45967</v>
      </c>
      <c r="C369" s="1" t="n">
        <v>46200</v>
      </c>
      <c r="D369" t="inlineStr">
        <is>
          <t>KALMAR LÄN</t>
        </is>
      </c>
      <c r="E369" t="inlineStr">
        <is>
          <t>TORSÅS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54836-2025</t>
        </is>
      </c>
      <c r="B370" s="1" t="n">
        <v>45966</v>
      </c>
      <c r="C370" s="1" t="n">
        <v>46200</v>
      </c>
      <c r="D370" t="inlineStr">
        <is>
          <t>KALMAR LÄN</t>
        </is>
      </c>
      <c r="E370" t="inlineStr">
        <is>
          <t>TORSÅS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46098-2025</t>
        </is>
      </c>
      <c r="B371" s="1" t="n">
        <v>45924</v>
      </c>
      <c r="C371" s="1" t="n">
        <v>46200</v>
      </c>
      <c r="D371" t="inlineStr">
        <is>
          <t>KALMAR LÄN</t>
        </is>
      </c>
      <c r="E371" t="inlineStr">
        <is>
          <t>TORSÅS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46411-2025</t>
        </is>
      </c>
      <c r="B372" s="1" t="n">
        <v>45925</v>
      </c>
      <c r="C372" s="1" t="n">
        <v>46200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46412-2025</t>
        </is>
      </c>
      <c r="B373" s="1" t="n">
        <v>45925</v>
      </c>
      <c r="C373" s="1" t="n">
        <v>46200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24666-2025</t>
        </is>
      </c>
      <c r="B374" s="1" t="n">
        <v>45798</v>
      </c>
      <c r="C374" s="1" t="n">
        <v>46200</v>
      </c>
      <c r="D374" t="inlineStr">
        <is>
          <t>KALMAR LÄN</t>
        </is>
      </c>
      <c r="E374" t="inlineStr">
        <is>
          <t>TORSÅS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39306-2024</t>
        </is>
      </c>
      <c r="B375" s="1" t="n">
        <v>45551</v>
      </c>
      <c r="C375" s="1" t="n">
        <v>46200</v>
      </c>
      <c r="D375" t="inlineStr">
        <is>
          <t>KALMAR LÄN</t>
        </is>
      </c>
      <c r="E375" t="inlineStr">
        <is>
          <t>TORSÅS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24661-2025</t>
        </is>
      </c>
      <c r="B376" s="1" t="n">
        <v>45798</v>
      </c>
      <c r="C376" s="1" t="n">
        <v>46200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58065-2025</t>
        </is>
      </c>
      <c r="B377" s="1" t="n">
        <v>45982</v>
      </c>
      <c r="C377" s="1" t="n">
        <v>46200</v>
      </c>
      <c r="D377" t="inlineStr">
        <is>
          <t>KALMAR LÄN</t>
        </is>
      </c>
      <c r="E377" t="inlineStr">
        <is>
          <t>TORSÅS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58077-2025</t>
        </is>
      </c>
      <c r="B378" s="1" t="n">
        <v>45982</v>
      </c>
      <c r="C378" s="1" t="n">
        <v>46200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59129-2025</t>
        </is>
      </c>
      <c r="B379" s="1" t="n">
        <v>45988</v>
      </c>
      <c r="C379" s="1" t="n">
        <v>46200</v>
      </c>
      <c r="D379" t="inlineStr">
        <is>
          <t>KALMAR LÄN</t>
        </is>
      </c>
      <c r="E379" t="inlineStr">
        <is>
          <t>TORSÅS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29933-2024</t>
        </is>
      </c>
      <c r="B380" s="1" t="n">
        <v>45488</v>
      </c>
      <c r="C380" s="1" t="n">
        <v>46200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59130-2025</t>
        </is>
      </c>
      <c r="B381" s="1" t="n">
        <v>45988</v>
      </c>
      <c r="C381" s="1" t="n">
        <v>46200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54716-2024</t>
        </is>
      </c>
      <c r="B382" s="1" t="n">
        <v>45618</v>
      </c>
      <c r="C382" s="1" t="n">
        <v>46200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56701-2025</t>
        </is>
      </c>
      <c r="B383" s="1" t="n">
        <v>45977</v>
      </c>
      <c r="C383" s="1" t="n">
        <v>46200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61498-2025</t>
        </is>
      </c>
      <c r="B384" s="1" t="n">
        <v>46001</v>
      </c>
      <c r="C384" s="1" t="n">
        <v>46200</v>
      </c>
      <c r="D384" t="inlineStr">
        <is>
          <t>KALMAR LÄN</t>
        </is>
      </c>
      <c r="E384" t="inlineStr">
        <is>
          <t>TORSÅS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61409-2025</t>
        </is>
      </c>
      <c r="B385" s="1" t="n">
        <v>46001</v>
      </c>
      <c r="C385" s="1" t="n">
        <v>46200</v>
      </c>
      <c r="D385" t="inlineStr">
        <is>
          <t>KALMAR LÄN</t>
        </is>
      </c>
      <c r="E385" t="inlineStr">
        <is>
          <t>TORSÅS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61499-2025</t>
        </is>
      </c>
      <c r="B386" s="1" t="n">
        <v>46001</v>
      </c>
      <c r="C386" s="1" t="n">
        <v>46200</v>
      </c>
      <c r="D386" t="inlineStr">
        <is>
          <t>KALMAR LÄN</t>
        </is>
      </c>
      <c r="E386" t="inlineStr">
        <is>
          <t>TORSÅS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22894-2025</t>
        </is>
      </c>
      <c r="B387" s="1" t="n">
        <v>45790</v>
      </c>
      <c r="C387" s="1" t="n">
        <v>46200</v>
      </c>
      <c r="D387" t="inlineStr">
        <is>
          <t>KALMAR LÄN</t>
        </is>
      </c>
      <c r="E387" t="inlineStr">
        <is>
          <t>TORSÅS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1909-2026</t>
        </is>
      </c>
      <c r="B388" s="1" t="n">
        <v>46035</v>
      </c>
      <c r="C388" s="1" t="n">
        <v>46200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1904-2026</t>
        </is>
      </c>
      <c r="B389" s="1" t="n">
        <v>46035</v>
      </c>
      <c r="C389" s="1" t="n">
        <v>46200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6530-2026</t>
        </is>
      </c>
      <c r="B390" s="1" t="n">
        <v>46056</v>
      </c>
      <c r="C390" s="1" t="n">
        <v>46200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7469-2026</t>
        </is>
      </c>
      <c r="B391" s="1" t="n">
        <v>46059</v>
      </c>
      <c r="C391" s="1" t="n">
        <v>46200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9185-2026</t>
        </is>
      </c>
      <c r="B392" s="1" t="n">
        <v>46070</v>
      </c>
      <c r="C392" s="1" t="n">
        <v>46200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9175-2026</t>
        </is>
      </c>
      <c r="B393" s="1" t="n">
        <v>46070</v>
      </c>
      <c r="C393" s="1" t="n">
        <v>46200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11642-2026</t>
        </is>
      </c>
      <c r="B394" s="1" t="n">
        <v>46084</v>
      </c>
      <c r="C394" s="1" t="n">
        <v>46200</v>
      </c>
      <c r="D394" t="inlineStr">
        <is>
          <t>KALMAR LÄN</t>
        </is>
      </c>
      <c r="E394" t="inlineStr">
        <is>
          <t>TORSÅS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11609-2026</t>
        </is>
      </c>
      <c r="B395" s="1" t="n">
        <v>46084</v>
      </c>
      <c r="C395" s="1" t="n">
        <v>46200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11420-2026</t>
        </is>
      </c>
      <c r="B396" s="1" t="n">
        <v>46083</v>
      </c>
      <c r="C396" s="1" t="n">
        <v>46200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11575-2026</t>
        </is>
      </c>
      <c r="B397" s="1" t="n">
        <v>46084</v>
      </c>
      <c r="C397" s="1" t="n">
        <v>46200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12484-2026</t>
        </is>
      </c>
      <c r="B398" s="1" t="n">
        <v>46090</v>
      </c>
      <c r="C398" s="1" t="n">
        <v>46200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12415-2026</t>
        </is>
      </c>
      <c r="B399" s="1" t="n">
        <v>46090</v>
      </c>
      <c r="C399" s="1" t="n">
        <v>46200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12423-2026</t>
        </is>
      </c>
      <c r="B400" s="1" t="n">
        <v>46090</v>
      </c>
      <c r="C400" s="1" t="n">
        <v>46200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12419-2026</t>
        </is>
      </c>
      <c r="B401" s="1" t="n">
        <v>46090</v>
      </c>
      <c r="C401" s="1" t="n">
        <v>46200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12944-2026</t>
        </is>
      </c>
      <c r="B402" s="1" t="n">
        <v>46092</v>
      </c>
      <c r="C402" s="1" t="n">
        <v>46200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12939-2026</t>
        </is>
      </c>
      <c r="B403" s="1" t="n">
        <v>46092</v>
      </c>
      <c r="C403" s="1" t="n">
        <v>46200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16411-2026</t>
        </is>
      </c>
      <c r="B404" s="1" t="n">
        <v>46111</v>
      </c>
      <c r="C404" s="1" t="n">
        <v>46200</v>
      </c>
      <c r="D404" t="inlineStr">
        <is>
          <t>KALMAR LÄN</t>
        </is>
      </c>
      <c r="E404" t="inlineStr">
        <is>
          <t>TORSÅS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16409-2026</t>
        </is>
      </c>
      <c r="B405" s="1" t="n">
        <v>46111</v>
      </c>
      <c r="C405" s="1" t="n">
        <v>46200</v>
      </c>
      <c r="D405" t="inlineStr">
        <is>
          <t>KALMAR LÄN</t>
        </is>
      </c>
      <c r="E405" t="inlineStr">
        <is>
          <t>TORSÅS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15485-2026</t>
        </is>
      </c>
      <c r="B406" s="1" t="n">
        <v>46106</v>
      </c>
      <c r="C406" s="1" t="n">
        <v>46200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15421-2026</t>
        </is>
      </c>
      <c r="B407" s="1" t="n">
        <v>46106</v>
      </c>
      <c r="C407" s="1" t="n">
        <v>46200</v>
      </c>
      <c r="D407" t="inlineStr">
        <is>
          <t>KALMAR LÄN</t>
        </is>
      </c>
      <c r="E407" t="inlineStr">
        <is>
          <t>TORSÅS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16841-2026</t>
        </is>
      </c>
      <c r="B408" s="1" t="n">
        <v>46113</v>
      </c>
      <c r="C408" s="1" t="n">
        <v>46200</v>
      </c>
      <c r="D408" t="inlineStr">
        <is>
          <t>KALMAR LÄN</t>
        </is>
      </c>
      <c r="E408" t="inlineStr">
        <is>
          <t>TORSÅS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16834-2026</t>
        </is>
      </c>
      <c r="B409" s="1" t="n">
        <v>46113</v>
      </c>
      <c r="C409" s="1" t="n">
        <v>46200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17427-2026</t>
        </is>
      </c>
      <c r="B410" s="1" t="n">
        <v>46120</v>
      </c>
      <c r="C410" s="1" t="n">
        <v>46200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23035-2026</t>
        </is>
      </c>
      <c r="B411" s="1" t="n">
        <v>46161</v>
      </c>
      <c r="C411" s="1" t="n">
        <v>46200</v>
      </c>
      <c r="D411" t="inlineStr">
        <is>
          <t>KALMAR LÄN</t>
        </is>
      </c>
      <c r="E411" t="inlineStr">
        <is>
          <t>TORSÅS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17223-2026</t>
        </is>
      </c>
      <c r="B412" s="1" t="n">
        <v>46119</v>
      </c>
      <c r="C412" s="1" t="n">
        <v>46200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24509-2026</t>
        </is>
      </c>
      <c r="B413" s="1" t="n">
        <v>46170</v>
      </c>
      <c r="C413" s="1" t="n">
        <v>46200</v>
      </c>
      <c r="D413" t="inlineStr">
        <is>
          <t>KALMAR LÄN</t>
        </is>
      </c>
      <c r="E413" t="inlineStr">
        <is>
          <t>TORSÅS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24308-2026</t>
        </is>
      </c>
      <c r="B414" s="1" t="n">
        <v>46169</v>
      </c>
      <c r="C414" s="1" t="n">
        <v>46200</v>
      </c>
      <c r="D414" t="inlineStr">
        <is>
          <t>KALMAR LÄN</t>
        </is>
      </c>
      <c r="E414" t="inlineStr">
        <is>
          <t>TORSÅS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25070-2026</t>
        </is>
      </c>
      <c r="B415" s="1" t="n">
        <v>46174</v>
      </c>
      <c r="C415" s="1" t="n">
        <v>46200</v>
      </c>
      <c r="D415" t="inlineStr">
        <is>
          <t>KALMAR LÄN</t>
        </is>
      </c>
      <c r="E415" t="inlineStr">
        <is>
          <t>TORSÅS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25072-2026</t>
        </is>
      </c>
      <c r="B416" s="1" t="n">
        <v>46174</v>
      </c>
      <c r="C416" s="1" t="n">
        <v>46200</v>
      </c>
      <c r="D416" t="inlineStr">
        <is>
          <t>KALMAR LÄN</t>
        </is>
      </c>
      <c r="E416" t="inlineStr">
        <is>
          <t>TORSÅS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25075-2026</t>
        </is>
      </c>
      <c r="B417" s="1" t="n">
        <v>46174</v>
      </c>
      <c r="C417" s="1" t="n">
        <v>46200</v>
      </c>
      <c r="D417" t="inlineStr">
        <is>
          <t>KALMAR LÄN</t>
        </is>
      </c>
      <c r="E417" t="inlineStr">
        <is>
          <t>TORSÅS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18437-2024</t>
        </is>
      </c>
      <c r="B418" s="1" t="n">
        <v>45425</v>
      </c>
      <c r="C418" s="1" t="n">
        <v>46200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13025-2026</t>
        </is>
      </c>
      <c r="B419" s="1" t="n">
        <v>46092</v>
      </c>
      <c r="C419" s="1" t="n">
        <v>46200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13029-2026</t>
        </is>
      </c>
      <c r="B420" s="1" t="n">
        <v>46092</v>
      </c>
      <c r="C420" s="1" t="n">
        <v>46200</v>
      </c>
      <c r="D420" t="inlineStr">
        <is>
          <t>KALMAR LÄN</t>
        </is>
      </c>
      <c r="E420" t="inlineStr">
        <is>
          <t>TORSÅS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13022-2026</t>
        </is>
      </c>
      <c r="B421" s="1" t="n">
        <v>46092</v>
      </c>
      <c r="C421" s="1" t="n">
        <v>46200</v>
      </c>
      <c r="D421" t="inlineStr">
        <is>
          <t>KALMAR LÄN</t>
        </is>
      </c>
      <c r="E421" t="inlineStr">
        <is>
          <t>TORSÅS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32573-2025</t>
        </is>
      </c>
      <c r="B422" s="1" t="n">
        <v>45838</v>
      </c>
      <c r="C422" s="1" t="n">
        <v>46200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13024-2026</t>
        </is>
      </c>
      <c r="B423" s="1" t="n">
        <v>46092</v>
      </c>
      <c r="C423" s="1" t="n">
        <v>46200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32600-2025</t>
        </is>
      </c>
      <c r="B424" s="1" t="n">
        <v>45838</v>
      </c>
      <c r="C424" s="1" t="n">
        <v>46200</v>
      </c>
      <c r="D424" t="inlineStr">
        <is>
          <t>KALMAR LÄN</t>
        </is>
      </c>
      <c r="E424" t="inlineStr">
        <is>
          <t>TORSÅS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13023-2026</t>
        </is>
      </c>
      <c r="B425" s="1" t="n">
        <v>46092</v>
      </c>
      <c r="C425" s="1" t="n">
        <v>46200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13027-2026</t>
        </is>
      </c>
      <c r="B426" s="1" t="n">
        <v>46092</v>
      </c>
      <c r="C426" s="1" t="n">
        <v>46200</v>
      </c>
      <c r="D426" t="inlineStr">
        <is>
          <t>KALMAR LÄN</t>
        </is>
      </c>
      <c r="E426" t="inlineStr">
        <is>
          <t>TORSÅS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13021-2026</t>
        </is>
      </c>
      <c r="B427" s="1" t="n">
        <v>46092</v>
      </c>
      <c r="C427" s="1" t="n">
        <v>46200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8618-2026</t>
        </is>
      </c>
      <c r="B428" s="1" t="n">
        <v>46066</v>
      </c>
      <c r="C428" s="1" t="n">
        <v>46200</v>
      </c>
      <c r="D428" t="inlineStr">
        <is>
          <t>KALMAR LÄN</t>
        </is>
      </c>
      <c r="E428" t="inlineStr">
        <is>
          <t>TORSÅS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23974-2026</t>
        </is>
      </c>
      <c r="B429" s="1" t="n">
        <v>46167</v>
      </c>
      <c r="C429" s="1" t="n">
        <v>46200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29999-2025</t>
        </is>
      </c>
      <c r="B430" s="1" t="n">
        <v>45826</v>
      </c>
      <c r="C430" s="1" t="n">
        <v>46200</v>
      </c>
      <c r="D430" t="inlineStr">
        <is>
          <t>KALMAR LÄN</t>
        </is>
      </c>
      <c r="E430" t="inlineStr">
        <is>
          <t>TORSÅS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47312-2025</t>
        </is>
      </c>
      <c r="B431" s="1" t="n">
        <v>45930</v>
      </c>
      <c r="C431" s="1" t="n">
        <v>46200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24309-2026</t>
        </is>
      </c>
      <c r="B432" s="1" t="n">
        <v>46169</v>
      </c>
      <c r="C432" s="1" t="n">
        <v>46200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23963-2026</t>
        </is>
      </c>
      <c r="B433" s="1" t="n">
        <v>46167</v>
      </c>
      <c r="C433" s="1" t="n">
        <v>46200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21192-2026</t>
        </is>
      </c>
      <c r="B434" s="1" t="n">
        <v>46146</v>
      </c>
      <c r="C434" s="1" t="n">
        <v>46200</v>
      </c>
      <c r="D434" t="inlineStr">
        <is>
          <t>KALMAR LÄN</t>
        </is>
      </c>
      <c r="E434" t="inlineStr">
        <is>
          <t>TORSÅS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42910-2025</t>
        </is>
      </c>
      <c r="B435" s="1" t="n">
        <v>45908</v>
      </c>
      <c r="C435" s="1" t="n">
        <v>46200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2026-06-27T00:55:48Z</dcterms:created>
  <dcterms:modified xmlns:dcterms="http://purl.org/dc/terms/" xmlns:xsi="http://www.w3.org/2001/XMLSchema-instance" xsi:type="dcterms:W3CDTF">2026-06-27T00:55:49Z</dcterms:modified>
</cp:coreProperties>
</file>