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8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40023-2019</t>
        </is>
      </c>
      <c r="B2" s="1" t="n">
        <v>43693</v>
      </c>
      <c r="C2" s="1" t="n">
        <v>45692</v>
      </c>
      <c r="D2" t="inlineStr">
        <is>
          <t>KALMAR LÄN</t>
        </is>
      </c>
      <c r="E2" t="inlineStr">
        <is>
          <t>TORSÅS</t>
        </is>
      </c>
      <c r="G2" t="n">
        <v>3.8</v>
      </c>
      <c r="H2" t="n">
        <v>6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6</v>
      </c>
      <c r="R2" s="2" t="inlineStr">
        <is>
          <t>Barbastell
Brunlångöra
Nordfladdermus
Dvärgpipistrell
Gråskimlig fladdermus
Större brunfladdermus</t>
        </is>
      </c>
      <c r="S2">
        <f>HYPERLINK("https://klasma.github.io/Logging_0834/artfynd/A 40023-2019 artfynd.xlsx", "A 40023-2019")</f>
        <v/>
      </c>
      <c r="T2">
        <f>HYPERLINK("https://klasma.github.io/Logging_0834/kartor/A 40023-2019 karta.png", "A 40023-2019")</f>
        <v/>
      </c>
      <c r="V2">
        <f>HYPERLINK("https://klasma.github.io/Logging_0834/klagomål/A 40023-2019 FSC-klagomål.docx", "A 40023-2019")</f>
        <v/>
      </c>
      <c r="W2">
        <f>HYPERLINK("https://klasma.github.io/Logging_0834/klagomålsmail/A 40023-2019 FSC-klagomål mail.docx", "A 40023-2019")</f>
        <v/>
      </c>
      <c r="X2">
        <f>HYPERLINK("https://klasma.github.io/Logging_0834/tillsyn/A 40023-2019 tillsynsbegäran.docx", "A 40023-2019")</f>
        <v/>
      </c>
      <c r="Y2">
        <f>HYPERLINK("https://klasma.github.io/Logging_0834/tillsynsmail/A 40023-2019 tillsynsbegäran mail.docx", "A 40023-2019")</f>
        <v/>
      </c>
    </row>
    <row r="3" ht="15" customHeight="1">
      <c r="A3" t="inlineStr">
        <is>
          <t>A 37646-2019</t>
        </is>
      </c>
      <c r="B3" s="1" t="n">
        <v>43682</v>
      </c>
      <c r="C3" s="1" t="n">
        <v>45692</v>
      </c>
      <c r="D3" t="inlineStr">
        <is>
          <t>KALMAR LÄN</t>
        </is>
      </c>
      <c r="E3" t="inlineStr">
        <is>
          <t>TORSÅS</t>
        </is>
      </c>
      <c r="G3" t="n">
        <v>2.5</v>
      </c>
      <c r="H3" t="n">
        <v>4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Nordfladdermus
Dvärgpipistrell
Större brunfladdermus
Trollpipistrell</t>
        </is>
      </c>
      <c r="S3">
        <f>HYPERLINK("https://klasma.github.io/Logging_0834/artfynd/A 37646-2019 artfynd.xlsx", "A 37646-2019")</f>
        <v/>
      </c>
      <c r="T3">
        <f>HYPERLINK("https://klasma.github.io/Logging_0834/kartor/A 37646-2019 karta.png", "A 37646-2019")</f>
        <v/>
      </c>
      <c r="V3">
        <f>HYPERLINK("https://klasma.github.io/Logging_0834/klagomål/A 37646-2019 FSC-klagomål.docx", "A 37646-2019")</f>
        <v/>
      </c>
      <c r="W3">
        <f>HYPERLINK("https://klasma.github.io/Logging_0834/klagomålsmail/A 37646-2019 FSC-klagomål mail.docx", "A 37646-2019")</f>
        <v/>
      </c>
      <c r="X3">
        <f>HYPERLINK("https://klasma.github.io/Logging_0834/tillsyn/A 37646-2019 tillsynsbegäran.docx", "A 37646-2019")</f>
        <v/>
      </c>
      <c r="Y3">
        <f>HYPERLINK("https://klasma.github.io/Logging_0834/tillsynsmail/A 37646-2019 tillsynsbegäran mail.docx", "A 37646-2019")</f>
        <v/>
      </c>
    </row>
    <row r="4" ht="15" customHeight="1">
      <c r="A4" t="inlineStr">
        <is>
          <t>A 1127-2020</t>
        </is>
      </c>
      <c r="B4" s="1" t="n">
        <v>43840</v>
      </c>
      <c r="C4" s="1" t="n">
        <v>45692</v>
      </c>
      <c r="D4" t="inlineStr">
        <is>
          <t>KALMAR LÄN</t>
        </is>
      </c>
      <c r="E4" t="inlineStr">
        <is>
          <t>TORSÅS</t>
        </is>
      </c>
      <c r="G4" t="n">
        <v>5.5</v>
      </c>
      <c r="H4" t="n">
        <v>4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4</v>
      </c>
      <c r="R4" s="2" t="inlineStr">
        <is>
          <t>Barbastell
Nordfladdermus
Dvärgpipistrell
Större brunfladdermus</t>
        </is>
      </c>
      <c r="S4">
        <f>HYPERLINK("https://klasma.github.io/Logging_0834/artfynd/A 1127-2020 artfynd.xlsx", "A 1127-2020")</f>
        <v/>
      </c>
      <c r="T4">
        <f>HYPERLINK("https://klasma.github.io/Logging_0834/kartor/A 1127-2020 karta.png", "A 1127-2020")</f>
        <v/>
      </c>
      <c r="V4">
        <f>HYPERLINK("https://klasma.github.io/Logging_0834/klagomål/A 1127-2020 FSC-klagomål.docx", "A 1127-2020")</f>
        <v/>
      </c>
      <c r="W4">
        <f>HYPERLINK("https://klasma.github.io/Logging_0834/klagomålsmail/A 1127-2020 FSC-klagomål mail.docx", "A 1127-2020")</f>
        <v/>
      </c>
      <c r="X4">
        <f>HYPERLINK("https://klasma.github.io/Logging_0834/tillsyn/A 1127-2020 tillsynsbegäran.docx", "A 1127-2020")</f>
        <v/>
      </c>
      <c r="Y4">
        <f>HYPERLINK("https://klasma.github.io/Logging_0834/tillsynsmail/A 1127-2020 tillsynsbegäran mail.docx", "A 1127-2020")</f>
        <v/>
      </c>
    </row>
    <row r="5" ht="15" customHeight="1">
      <c r="A5" t="inlineStr">
        <is>
          <t>A 12870-2023</t>
        </is>
      </c>
      <c r="B5" s="1" t="n">
        <v>45001</v>
      </c>
      <c r="C5" s="1" t="n">
        <v>45692</v>
      </c>
      <c r="D5" t="inlineStr">
        <is>
          <t>KALMAR LÄN</t>
        </is>
      </c>
      <c r="E5" t="inlineStr">
        <is>
          <t>TORSÅS</t>
        </is>
      </c>
      <c r="G5" t="n">
        <v>3.3</v>
      </c>
      <c r="H5" t="n">
        <v>2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Desmeknopp
Tvåblad
Vätteros
Blåsippa</t>
        </is>
      </c>
      <c r="S5">
        <f>HYPERLINK("https://klasma.github.io/Logging_0834/artfynd/A 12870-2023 artfynd.xlsx", "A 12870-2023")</f>
        <v/>
      </c>
      <c r="T5">
        <f>HYPERLINK("https://klasma.github.io/Logging_0834/kartor/A 12870-2023 karta.png", "A 12870-2023")</f>
        <v/>
      </c>
      <c r="V5">
        <f>HYPERLINK("https://klasma.github.io/Logging_0834/klagomål/A 12870-2023 FSC-klagomål.docx", "A 12870-2023")</f>
        <v/>
      </c>
      <c r="W5">
        <f>HYPERLINK("https://klasma.github.io/Logging_0834/klagomålsmail/A 12870-2023 FSC-klagomål mail.docx", "A 12870-2023")</f>
        <v/>
      </c>
      <c r="X5">
        <f>HYPERLINK("https://klasma.github.io/Logging_0834/tillsyn/A 12870-2023 tillsynsbegäran.docx", "A 12870-2023")</f>
        <v/>
      </c>
      <c r="Y5">
        <f>HYPERLINK("https://klasma.github.io/Logging_0834/tillsynsmail/A 12870-2023 tillsynsbegäran mail.docx", "A 12870-2023")</f>
        <v/>
      </c>
    </row>
    <row r="6" ht="15" customHeight="1">
      <c r="A6" t="inlineStr">
        <is>
          <t>A 10990-2024</t>
        </is>
      </c>
      <c r="B6" s="1" t="n">
        <v>45370</v>
      </c>
      <c r="C6" s="1" t="n">
        <v>45692</v>
      </c>
      <c r="D6" t="inlineStr">
        <is>
          <t>KALMAR LÄN</t>
        </is>
      </c>
      <c r="E6" t="inlineStr">
        <is>
          <t>TORSÅS</t>
        </is>
      </c>
      <c r="G6" t="n">
        <v>7.3</v>
      </c>
      <c r="H6" t="n">
        <v>2</v>
      </c>
      <c r="I6" t="n">
        <v>0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4</v>
      </c>
      <c r="R6" s="2" t="inlineStr">
        <is>
          <t>Kortskaftad ärgspik
Spillkråka
Tallticka
Tjäder</t>
        </is>
      </c>
      <c r="S6">
        <f>HYPERLINK("https://klasma.github.io/Logging_0834/artfynd/A 10990-2024 artfynd.xlsx", "A 10990-2024")</f>
        <v/>
      </c>
      <c r="T6">
        <f>HYPERLINK("https://klasma.github.io/Logging_0834/kartor/A 10990-2024 karta.png", "A 10990-2024")</f>
        <v/>
      </c>
      <c r="V6">
        <f>HYPERLINK("https://klasma.github.io/Logging_0834/klagomål/A 10990-2024 FSC-klagomål.docx", "A 10990-2024")</f>
        <v/>
      </c>
      <c r="W6">
        <f>HYPERLINK("https://klasma.github.io/Logging_0834/klagomålsmail/A 10990-2024 FSC-klagomål mail.docx", "A 10990-2024")</f>
        <v/>
      </c>
      <c r="X6">
        <f>HYPERLINK("https://klasma.github.io/Logging_0834/tillsyn/A 10990-2024 tillsynsbegäran.docx", "A 10990-2024")</f>
        <v/>
      </c>
      <c r="Y6">
        <f>HYPERLINK("https://klasma.github.io/Logging_0834/tillsynsmail/A 10990-2024 tillsynsbegäran mail.docx", "A 10990-2024")</f>
        <v/>
      </c>
      <c r="Z6">
        <f>HYPERLINK("https://klasma.github.io/Logging_0834/fåglar/A 10990-2024 prioriterade fågelarter.docx", "A 10990-2024")</f>
        <v/>
      </c>
    </row>
    <row r="7" ht="15" customHeight="1">
      <c r="A7" t="inlineStr">
        <is>
          <t>A 61247-2019</t>
        </is>
      </c>
      <c r="B7" s="1" t="n">
        <v>43783</v>
      </c>
      <c r="C7" s="1" t="n">
        <v>45692</v>
      </c>
      <c r="D7" t="inlineStr">
        <is>
          <t>KALMAR LÄN</t>
        </is>
      </c>
      <c r="E7" t="inlineStr">
        <is>
          <t>TORSÅS</t>
        </is>
      </c>
      <c r="G7" t="n">
        <v>4.8</v>
      </c>
      <c r="H7" t="n">
        <v>0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Barrviolspindling
Gul vaxskivling
Murgröna</t>
        </is>
      </c>
      <c r="S7">
        <f>HYPERLINK("https://klasma.github.io/Logging_0834/artfynd/A 61247-2019 artfynd.xlsx", "A 61247-2019")</f>
        <v/>
      </c>
      <c r="T7">
        <f>HYPERLINK("https://klasma.github.io/Logging_0834/kartor/A 61247-2019 karta.png", "A 61247-2019")</f>
        <v/>
      </c>
      <c r="V7">
        <f>HYPERLINK("https://klasma.github.io/Logging_0834/klagomål/A 61247-2019 FSC-klagomål.docx", "A 61247-2019")</f>
        <v/>
      </c>
      <c r="W7">
        <f>HYPERLINK("https://klasma.github.io/Logging_0834/klagomålsmail/A 61247-2019 FSC-klagomål mail.docx", "A 61247-2019")</f>
        <v/>
      </c>
      <c r="X7">
        <f>HYPERLINK("https://klasma.github.io/Logging_0834/tillsyn/A 61247-2019 tillsynsbegäran.docx", "A 61247-2019")</f>
        <v/>
      </c>
      <c r="Y7">
        <f>HYPERLINK("https://klasma.github.io/Logging_0834/tillsynsmail/A 61247-2019 tillsynsbegäran mail.docx", "A 61247-2019")</f>
        <v/>
      </c>
    </row>
    <row r="8" ht="15" customHeight="1">
      <c r="A8" t="inlineStr">
        <is>
          <t>A 50351-2021</t>
        </is>
      </c>
      <c r="B8" s="1" t="n">
        <v>44459</v>
      </c>
      <c r="C8" s="1" t="n">
        <v>45692</v>
      </c>
      <c r="D8" t="inlineStr">
        <is>
          <t>KALMAR LÄN</t>
        </is>
      </c>
      <c r="E8" t="inlineStr">
        <is>
          <t>TORSÅS</t>
        </is>
      </c>
      <c r="G8" t="n">
        <v>1.9</v>
      </c>
      <c r="H8" t="n">
        <v>3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Nordfladdermus
Dvärgpipistrell
Större brunfladdermus</t>
        </is>
      </c>
      <c r="S8">
        <f>HYPERLINK("https://klasma.github.io/Logging_0834/artfynd/A 50351-2021 artfynd.xlsx", "A 50351-2021")</f>
        <v/>
      </c>
      <c r="T8">
        <f>HYPERLINK("https://klasma.github.io/Logging_0834/kartor/A 50351-2021 karta.png", "A 50351-2021")</f>
        <v/>
      </c>
      <c r="V8">
        <f>HYPERLINK("https://klasma.github.io/Logging_0834/klagomål/A 50351-2021 FSC-klagomål.docx", "A 50351-2021")</f>
        <v/>
      </c>
      <c r="W8">
        <f>HYPERLINK("https://klasma.github.io/Logging_0834/klagomålsmail/A 50351-2021 FSC-klagomål mail.docx", "A 50351-2021")</f>
        <v/>
      </c>
      <c r="X8">
        <f>HYPERLINK("https://klasma.github.io/Logging_0834/tillsyn/A 50351-2021 tillsynsbegäran.docx", "A 50351-2021")</f>
        <v/>
      </c>
      <c r="Y8">
        <f>HYPERLINK("https://klasma.github.io/Logging_0834/tillsynsmail/A 50351-2021 tillsynsbegäran mail.docx", "A 50351-2021")</f>
        <v/>
      </c>
    </row>
    <row r="9" ht="15" customHeight="1">
      <c r="A9" t="inlineStr">
        <is>
          <t>A 47385-2023</t>
        </is>
      </c>
      <c r="B9" s="1" t="n">
        <v>45202</v>
      </c>
      <c r="C9" s="1" t="n">
        <v>45692</v>
      </c>
      <c r="D9" t="inlineStr">
        <is>
          <t>KALMAR LÄN</t>
        </is>
      </c>
      <c r="E9" t="inlineStr">
        <is>
          <t>TORSÅS</t>
        </is>
      </c>
      <c r="G9" t="n">
        <v>1.2</v>
      </c>
      <c r="H9" t="n">
        <v>3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Nordfladdermus
Större brunfladdermus
Trollpipistrell</t>
        </is>
      </c>
      <c r="S9">
        <f>HYPERLINK("https://klasma.github.io/Logging_0834/artfynd/A 47385-2023 artfynd.xlsx", "A 47385-2023")</f>
        <v/>
      </c>
      <c r="T9">
        <f>HYPERLINK("https://klasma.github.io/Logging_0834/kartor/A 47385-2023 karta.png", "A 47385-2023")</f>
        <v/>
      </c>
      <c r="V9">
        <f>HYPERLINK("https://klasma.github.io/Logging_0834/klagomål/A 47385-2023 FSC-klagomål.docx", "A 47385-2023")</f>
        <v/>
      </c>
      <c r="W9">
        <f>HYPERLINK("https://klasma.github.io/Logging_0834/klagomålsmail/A 47385-2023 FSC-klagomål mail.docx", "A 47385-2023")</f>
        <v/>
      </c>
      <c r="X9">
        <f>HYPERLINK("https://klasma.github.io/Logging_0834/tillsyn/A 47385-2023 tillsynsbegäran.docx", "A 47385-2023")</f>
        <v/>
      </c>
      <c r="Y9">
        <f>HYPERLINK("https://klasma.github.io/Logging_0834/tillsynsmail/A 47385-2023 tillsynsbegäran mail.docx", "A 47385-2023")</f>
        <v/>
      </c>
    </row>
    <row r="10" ht="15" customHeight="1">
      <c r="A10" t="inlineStr">
        <is>
          <t>A 32521-2024</t>
        </is>
      </c>
      <c r="B10" s="1" t="n">
        <v>45513</v>
      </c>
      <c r="C10" s="1" t="n">
        <v>45692</v>
      </c>
      <c r="D10" t="inlineStr">
        <is>
          <t>KALMAR LÄN</t>
        </is>
      </c>
      <c r="E10" t="inlineStr">
        <is>
          <t>TORSÅS</t>
        </is>
      </c>
      <c r="G10" t="n">
        <v>3.1</v>
      </c>
      <c r="H10" t="n">
        <v>0</v>
      </c>
      <c r="I10" t="n">
        <v>1</v>
      </c>
      <c r="J10" t="n">
        <v>0</v>
      </c>
      <c r="K10" t="n">
        <v>1</v>
      </c>
      <c r="L10" t="n">
        <v>1</v>
      </c>
      <c r="M10" t="n">
        <v>0</v>
      </c>
      <c r="N10" t="n">
        <v>0</v>
      </c>
      <c r="O10" t="n">
        <v>2</v>
      </c>
      <c r="P10" t="n">
        <v>2</v>
      </c>
      <c r="Q10" t="n">
        <v>3</v>
      </c>
      <c r="R10" s="2" t="inlineStr">
        <is>
          <t>Korndådra
Gulvit blekspik
Guldlockmossa</t>
        </is>
      </c>
      <c r="S10">
        <f>HYPERLINK("https://klasma.github.io/Logging_0834/artfynd/A 32521-2024 artfynd.xlsx", "A 32521-2024")</f>
        <v/>
      </c>
      <c r="T10">
        <f>HYPERLINK("https://klasma.github.io/Logging_0834/kartor/A 32521-2024 karta.png", "A 32521-2024")</f>
        <v/>
      </c>
      <c r="V10">
        <f>HYPERLINK("https://klasma.github.io/Logging_0834/klagomål/A 32521-2024 FSC-klagomål.docx", "A 32521-2024")</f>
        <v/>
      </c>
      <c r="W10">
        <f>HYPERLINK("https://klasma.github.io/Logging_0834/klagomålsmail/A 32521-2024 FSC-klagomål mail.docx", "A 32521-2024")</f>
        <v/>
      </c>
      <c r="X10">
        <f>HYPERLINK("https://klasma.github.io/Logging_0834/tillsyn/A 32521-2024 tillsynsbegäran.docx", "A 32521-2024")</f>
        <v/>
      </c>
      <c r="Y10">
        <f>HYPERLINK("https://klasma.github.io/Logging_0834/tillsynsmail/A 32521-2024 tillsynsbegäran mail.docx", "A 32521-2024")</f>
        <v/>
      </c>
    </row>
    <row r="11" ht="15" customHeight="1">
      <c r="A11" t="inlineStr">
        <is>
          <t>A 25729-2019</t>
        </is>
      </c>
      <c r="B11" s="1" t="n">
        <v>43608</v>
      </c>
      <c r="C11" s="1" t="n">
        <v>45692</v>
      </c>
      <c r="D11" t="inlineStr">
        <is>
          <t>KALMAR LÄN</t>
        </is>
      </c>
      <c r="E11" t="inlineStr">
        <is>
          <t>TORSÅS</t>
        </is>
      </c>
      <c r="G11" t="n">
        <v>1.1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Sårläka
Ögonpyrola</t>
        </is>
      </c>
      <c r="S11">
        <f>HYPERLINK("https://klasma.github.io/Logging_0834/artfynd/A 25729-2019 artfynd.xlsx", "A 25729-2019")</f>
        <v/>
      </c>
      <c r="T11">
        <f>HYPERLINK("https://klasma.github.io/Logging_0834/kartor/A 25729-2019 karta.png", "A 25729-2019")</f>
        <v/>
      </c>
      <c r="V11">
        <f>HYPERLINK("https://klasma.github.io/Logging_0834/klagomål/A 25729-2019 FSC-klagomål.docx", "A 25729-2019")</f>
        <v/>
      </c>
      <c r="W11">
        <f>HYPERLINK("https://klasma.github.io/Logging_0834/klagomålsmail/A 25729-2019 FSC-klagomål mail.docx", "A 25729-2019")</f>
        <v/>
      </c>
      <c r="X11">
        <f>HYPERLINK("https://klasma.github.io/Logging_0834/tillsyn/A 25729-2019 tillsynsbegäran.docx", "A 25729-2019")</f>
        <v/>
      </c>
      <c r="Y11">
        <f>HYPERLINK("https://klasma.github.io/Logging_0834/tillsynsmail/A 25729-2019 tillsynsbegäran mail.docx", "A 25729-2019")</f>
        <v/>
      </c>
    </row>
    <row r="12" ht="15" customHeight="1">
      <c r="A12" t="inlineStr">
        <is>
          <t>A 43150-2019</t>
        </is>
      </c>
      <c r="B12" s="1" t="n">
        <v>43705</v>
      </c>
      <c r="C12" s="1" t="n">
        <v>45692</v>
      </c>
      <c r="D12" t="inlineStr">
        <is>
          <t>KALMAR LÄN</t>
        </is>
      </c>
      <c r="E12" t="inlineStr">
        <is>
          <t>TORSÅS</t>
        </is>
      </c>
      <c r="F12" t="inlineStr">
        <is>
          <t>Övriga Aktiebolag</t>
        </is>
      </c>
      <c r="G12" t="n">
        <v>41.2</v>
      </c>
      <c r="H12" t="n">
        <v>2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Nordfladdermus
Dvärgpipistrell</t>
        </is>
      </c>
      <c r="S12">
        <f>HYPERLINK("https://klasma.github.io/Logging_0834/artfynd/A 43150-2019 artfynd.xlsx", "A 43150-2019")</f>
        <v/>
      </c>
      <c r="T12">
        <f>HYPERLINK("https://klasma.github.io/Logging_0834/kartor/A 43150-2019 karta.png", "A 43150-2019")</f>
        <v/>
      </c>
      <c r="V12">
        <f>HYPERLINK("https://klasma.github.io/Logging_0834/klagomål/A 43150-2019 FSC-klagomål.docx", "A 43150-2019")</f>
        <v/>
      </c>
      <c r="W12">
        <f>HYPERLINK("https://klasma.github.io/Logging_0834/klagomålsmail/A 43150-2019 FSC-klagomål mail.docx", "A 43150-2019")</f>
        <v/>
      </c>
      <c r="X12">
        <f>HYPERLINK("https://klasma.github.io/Logging_0834/tillsyn/A 43150-2019 tillsynsbegäran.docx", "A 43150-2019")</f>
        <v/>
      </c>
      <c r="Y12">
        <f>HYPERLINK("https://klasma.github.io/Logging_0834/tillsynsmail/A 43150-2019 tillsynsbegäran mail.docx", "A 43150-2019")</f>
        <v/>
      </c>
    </row>
    <row r="13" ht="15" customHeight="1">
      <c r="A13" t="inlineStr">
        <is>
          <t>A 44711-2019</t>
        </is>
      </c>
      <c r="B13" s="1" t="n">
        <v>43712</v>
      </c>
      <c r="C13" s="1" t="n">
        <v>45692</v>
      </c>
      <c r="D13" t="inlineStr">
        <is>
          <t>KALMAR LÄN</t>
        </is>
      </c>
      <c r="E13" t="inlineStr">
        <is>
          <t>TORSÅS</t>
        </is>
      </c>
      <c r="G13" t="n">
        <v>2.3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Murgröna
Blåsippa</t>
        </is>
      </c>
      <c r="S13">
        <f>HYPERLINK("https://klasma.github.io/Logging_0834/artfynd/A 44711-2019 artfynd.xlsx", "A 44711-2019")</f>
        <v/>
      </c>
      <c r="T13">
        <f>HYPERLINK("https://klasma.github.io/Logging_0834/kartor/A 44711-2019 karta.png", "A 44711-2019")</f>
        <v/>
      </c>
      <c r="V13">
        <f>HYPERLINK("https://klasma.github.io/Logging_0834/klagomål/A 44711-2019 FSC-klagomål.docx", "A 44711-2019")</f>
        <v/>
      </c>
      <c r="W13">
        <f>HYPERLINK("https://klasma.github.io/Logging_0834/klagomålsmail/A 44711-2019 FSC-klagomål mail.docx", "A 44711-2019")</f>
        <v/>
      </c>
      <c r="X13">
        <f>HYPERLINK("https://klasma.github.io/Logging_0834/tillsyn/A 44711-2019 tillsynsbegäran.docx", "A 44711-2019")</f>
        <v/>
      </c>
      <c r="Y13">
        <f>HYPERLINK("https://klasma.github.io/Logging_0834/tillsynsmail/A 44711-2019 tillsynsbegäran mail.docx", "A 44711-2019")</f>
        <v/>
      </c>
    </row>
    <row r="14" ht="15" customHeight="1">
      <c r="A14" t="inlineStr">
        <is>
          <t>A 47715-2019</t>
        </is>
      </c>
      <c r="B14" s="1" t="n">
        <v>43724</v>
      </c>
      <c r="C14" s="1" t="n">
        <v>45692</v>
      </c>
      <c r="D14" t="inlineStr">
        <is>
          <t>KALMAR LÄN</t>
        </is>
      </c>
      <c r="E14" t="inlineStr">
        <is>
          <t>TORSÅS</t>
        </is>
      </c>
      <c r="G14" t="n">
        <v>1.7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Tibast
Gullviva</t>
        </is>
      </c>
      <c r="S14">
        <f>HYPERLINK("https://klasma.github.io/Logging_0834/artfynd/A 47715-2019 artfynd.xlsx", "A 47715-2019")</f>
        <v/>
      </c>
      <c r="T14">
        <f>HYPERLINK("https://klasma.github.io/Logging_0834/kartor/A 47715-2019 karta.png", "A 47715-2019")</f>
        <v/>
      </c>
      <c r="V14">
        <f>HYPERLINK("https://klasma.github.io/Logging_0834/klagomål/A 47715-2019 FSC-klagomål.docx", "A 47715-2019")</f>
        <v/>
      </c>
      <c r="W14">
        <f>HYPERLINK("https://klasma.github.io/Logging_0834/klagomålsmail/A 47715-2019 FSC-klagomål mail.docx", "A 47715-2019")</f>
        <v/>
      </c>
      <c r="X14">
        <f>HYPERLINK("https://klasma.github.io/Logging_0834/tillsyn/A 47715-2019 tillsynsbegäran.docx", "A 47715-2019")</f>
        <v/>
      </c>
      <c r="Y14">
        <f>HYPERLINK("https://klasma.github.io/Logging_0834/tillsynsmail/A 47715-2019 tillsynsbegäran mail.docx", "A 47715-2019")</f>
        <v/>
      </c>
    </row>
    <row r="15" ht="15" customHeight="1">
      <c r="A15" t="inlineStr">
        <is>
          <t>A 1068-2021</t>
        </is>
      </c>
      <c r="B15" s="1" t="n">
        <v>44207</v>
      </c>
      <c r="C15" s="1" t="n">
        <v>45692</v>
      </c>
      <c r="D15" t="inlineStr">
        <is>
          <t>KALMAR LÄN</t>
        </is>
      </c>
      <c r="E15" t="inlineStr">
        <is>
          <t>TORSÅS</t>
        </is>
      </c>
      <c r="G15" t="n">
        <v>5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Grönpyrola
Mattlummer</t>
        </is>
      </c>
      <c r="S15">
        <f>HYPERLINK("https://klasma.github.io/Logging_0834/artfynd/A 1068-2021 artfynd.xlsx", "A 1068-2021")</f>
        <v/>
      </c>
      <c r="T15">
        <f>HYPERLINK("https://klasma.github.io/Logging_0834/kartor/A 1068-2021 karta.png", "A 1068-2021")</f>
        <v/>
      </c>
      <c r="V15">
        <f>HYPERLINK("https://klasma.github.io/Logging_0834/klagomål/A 1068-2021 FSC-klagomål.docx", "A 1068-2021")</f>
        <v/>
      </c>
      <c r="W15">
        <f>HYPERLINK("https://klasma.github.io/Logging_0834/klagomålsmail/A 1068-2021 FSC-klagomål mail.docx", "A 1068-2021")</f>
        <v/>
      </c>
      <c r="X15">
        <f>HYPERLINK("https://klasma.github.io/Logging_0834/tillsyn/A 1068-2021 tillsynsbegäran.docx", "A 1068-2021")</f>
        <v/>
      </c>
      <c r="Y15">
        <f>HYPERLINK("https://klasma.github.io/Logging_0834/tillsynsmail/A 1068-2021 tillsynsbegäran mail.docx", "A 1068-2021")</f>
        <v/>
      </c>
    </row>
    <row r="16" ht="15" customHeight="1">
      <c r="A16" t="inlineStr">
        <is>
          <t>A 2921-2021</t>
        </is>
      </c>
      <c r="B16" s="1" t="n">
        <v>44216</v>
      </c>
      <c r="C16" s="1" t="n">
        <v>45692</v>
      </c>
      <c r="D16" t="inlineStr">
        <is>
          <t>KALMAR LÄN</t>
        </is>
      </c>
      <c r="E16" t="inlineStr">
        <is>
          <t>TORSÅS</t>
        </is>
      </c>
      <c r="G16" t="n">
        <v>2.7</v>
      </c>
      <c r="H16" t="n">
        <v>2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Nordfladdermus
Gråskimlig fladdermus</t>
        </is>
      </c>
      <c r="S16">
        <f>HYPERLINK("https://klasma.github.io/Logging_0834/artfynd/A 2921-2021 artfynd.xlsx", "A 2921-2021")</f>
        <v/>
      </c>
      <c r="T16">
        <f>HYPERLINK("https://klasma.github.io/Logging_0834/kartor/A 2921-2021 karta.png", "A 2921-2021")</f>
        <v/>
      </c>
      <c r="V16">
        <f>HYPERLINK("https://klasma.github.io/Logging_0834/klagomål/A 2921-2021 FSC-klagomål.docx", "A 2921-2021")</f>
        <v/>
      </c>
      <c r="W16">
        <f>HYPERLINK("https://klasma.github.io/Logging_0834/klagomålsmail/A 2921-2021 FSC-klagomål mail.docx", "A 2921-2021")</f>
        <v/>
      </c>
      <c r="X16">
        <f>HYPERLINK("https://klasma.github.io/Logging_0834/tillsyn/A 2921-2021 tillsynsbegäran.docx", "A 2921-2021")</f>
        <v/>
      </c>
      <c r="Y16">
        <f>HYPERLINK("https://klasma.github.io/Logging_0834/tillsynsmail/A 2921-2021 tillsynsbegäran mail.docx", "A 2921-2021")</f>
        <v/>
      </c>
    </row>
    <row r="17" ht="15" customHeight="1">
      <c r="A17" t="inlineStr">
        <is>
          <t>A 38695-2021</t>
        </is>
      </c>
      <c r="B17" s="1" t="n">
        <v>44410</v>
      </c>
      <c r="C17" s="1" t="n">
        <v>45692</v>
      </c>
      <c r="D17" t="inlineStr">
        <is>
          <t>KALMAR LÄN</t>
        </is>
      </c>
      <c r="E17" t="inlineStr">
        <is>
          <t>TORSÅS</t>
        </is>
      </c>
      <c r="G17" t="n">
        <v>17.2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Murgröna
Blåsippa</t>
        </is>
      </c>
      <c r="S17">
        <f>HYPERLINK("https://klasma.github.io/Logging_0834/artfynd/A 38695-2021 artfynd.xlsx", "A 38695-2021")</f>
        <v/>
      </c>
      <c r="T17">
        <f>HYPERLINK("https://klasma.github.io/Logging_0834/kartor/A 38695-2021 karta.png", "A 38695-2021")</f>
        <v/>
      </c>
      <c r="V17">
        <f>HYPERLINK("https://klasma.github.io/Logging_0834/klagomål/A 38695-2021 FSC-klagomål.docx", "A 38695-2021")</f>
        <v/>
      </c>
      <c r="W17">
        <f>HYPERLINK("https://klasma.github.io/Logging_0834/klagomålsmail/A 38695-2021 FSC-klagomål mail.docx", "A 38695-2021")</f>
        <v/>
      </c>
      <c r="X17">
        <f>HYPERLINK("https://klasma.github.io/Logging_0834/tillsyn/A 38695-2021 tillsynsbegäran.docx", "A 38695-2021")</f>
        <v/>
      </c>
      <c r="Y17">
        <f>HYPERLINK("https://klasma.github.io/Logging_0834/tillsynsmail/A 38695-2021 tillsynsbegäran mail.docx", "A 38695-2021")</f>
        <v/>
      </c>
    </row>
    <row r="18" ht="15" customHeight="1">
      <c r="A18" t="inlineStr">
        <is>
          <t>A 942-2022</t>
        </is>
      </c>
      <c r="B18" s="1" t="n">
        <v>44568</v>
      </c>
      <c r="C18" s="1" t="n">
        <v>45692</v>
      </c>
      <c r="D18" t="inlineStr">
        <is>
          <t>KALMAR LÄN</t>
        </is>
      </c>
      <c r="E18" t="inlineStr">
        <is>
          <t>TORSÅS</t>
        </is>
      </c>
      <c r="G18" t="n">
        <v>4.7</v>
      </c>
      <c r="H18" t="n">
        <v>0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Tallticka
Brandticka</t>
        </is>
      </c>
      <c r="S18">
        <f>HYPERLINK("https://klasma.github.io/Logging_0834/artfynd/A 942-2022 artfynd.xlsx", "A 942-2022")</f>
        <v/>
      </c>
      <c r="T18">
        <f>HYPERLINK("https://klasma.github.io/Logging_0834/kartor/A 942-2022 karta.png", "A 942-2022")</f>
        <v/>
      </c>
      <c r="V18">
        <f>HYPERLINK("https://klasma.github.io/Logging_0834/klagomål/A 942-2022 FSC-klagomål.docx", "A 942-2022")</f>
        <v/>
      </c>
      <c r="W18">
        <f>HYPERLINK("https://klasma.github.io/Logging_0834/klagomålsmail/A 942-2022 FSC-klagomål mail.docx", "A 942-2022")</f>
        <v/>
      </c>
      <c r="X18">
        <f>HYPERLINK("https://klasma.github.io/Logging_0834/tillsyn/A 942-2022 tillsynsbegäran.docx", "A 942-2022")</f>
        <v/>
      </c>
      <c r="Y18">
        <f>HYPERLINK("https://klasma.github.io/Logging_0834/tillsynsmail/A 942-2022 tillsynsbegäran mail.docx", "A 942-2022")</f>
        <v/>
      </c>
    </row>
    <row r="19" ht="15" customHeight="1">
      <c r="A19" t="inlineStr">
        <is>
          <t>A 2063-2023</t>
        </is>
      </c>
      <c r="B19" s="1" t="n">
        <v>44939</v>
      </c>
      <c r="C19" s="1" t="n">
        <v>45692</v>
      </c>
      <c r="D19" t="inlineStr">
        <is>
          <t>KALMAR LÄN</t>
        </is>
      </c>
      <c r="E19" t="inlineStr">
        <is>
          <t>TORSÅS</t>
        </is>
      </c>
      <c r="G19" t="n">
        <v>1.8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1</v>
      </c>
      <c r="N19" t="n">
        <v>0</v>
      </c>
      <c r="O19" t="n">
        <v>2</v>
      </c>
      <c r="P19" t="n">
        <v>1</v>
      </c>
      <c r="Q19" t="n">
        <v>2</v>
      </c>
      <c r="R19" s="2" t="inlineStr">
        <is>
          <t>Selleri
Kavelhirs</t>
        </is>
      </c>
      <c r="S19">
        <f>HYPERLINK("https://klasma.github.io/Logging_0834/artfynd/A 2063-2023 artfynd.xlsx", "A 2063-2023")</f>
        <v/>
      </c>
      <c r="T19">
        <f>HYPERLINK("https://klasma.github.io/Logging_0834/kartor/A 2063-2023 karta.png", "A 2063-2023")</f>
        <v/>
      </c>
      <c r="V19">
        <f>HYPERLINK("https://klasma.github.io/Logging_0834/klagomål/A 2063-2023 FSC-klagomål.docx", "A 2063-2023")</f>
        <v/>
      </c>
      <c r="W19">
        <f>HYPERLINK("https://klasma.github.io/Logging_0834/klagomålsmail/A 2063-2023 FSC-klagomål mail.docx", "A 2063-2023")</f>
        <v/>
      </c>
      <c r="X19">
        <f>HYPERLINK("https://klasma.github.io/Logging_0834/tillsyn/A 2063-2023 tillsynsbegäran.docx", "A 2063-2023")</f>
        <v/>
      </c>
      <c r="Y19">
        <f>HYPERLINK("https://klasma.github.io/Logging_0834/tillsynsmail/A 2063-2023 tillsynsbegäran mail.docx", "A 2063-2023")</f>
        <v/>
      </c>
    </row>
    <row r="20" ht="15" customHeight="1">
      <c r="A20" t="inlineStr">
        <is>
          <t>A 39297-2024</t>
        </is>
      </c>
      <c r="B20" s="1" t="n">
        <v>45551</v>
      </c>
      <c r="C20" s="1" t="n">
        <v>45692</v>
      </c>
      <c r="D20" t="inlineStr">
        <is>
          <t>KALMAR LÄN</t>
        </is>
      </c>
      <c r="E20" t="inlineStr">
        <is>
          <t>TORSÅS</t>
        </is>
      </c>
      <c r="G20" t="n">
        <v>3.3</v>
      </c>
      <c r="H20" t="n">
        <v>2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Större brunfladdermus
Vattenfladdermus</t>
        </is>
      </c>
      <c r="S20">
        <f>HYPERLINK("https://klasma.github.io/Logging_0834/artfynd/A 39297-2024 artfynd.xlsx", "A 39297-2024")</f>
        <v/>
      </c>
      <c r="T20">
        <f>HYPERLINK("https://klasma.github.io/Logging_0834/kartor/A 39297-2024 karta.png", "A 39297-2024")</f>
        <v/>
      </c>
      <c r="V20">
        <f>HYPERLINK("https://klasma.github.io/Logging_0834/klagomål/A 39297-2024 FSC-klagomål.docx", "A 39297-2024")</f>
        <v/>
      </c>
      <c r="W20">
        <f>HYPERLINK("https://klasma.github.io/Logging_0834/klagomålsmail/A 39297-2024 FSC-klagomål mail.docx", "A 39297-2024")</f>
        <v/>
      </c>
      <c r="X20">
        <f>HYPERLINK("https://klasma.github.io/Logging_0834/tillsyn/A 39297-2024 tillsynsbegäran.docx", "A 39297-2024")</f>
        <v/>
      </c>
      <c r="Y20">
        <f>HYPERLINK("https://klasma.github.io/Logging_0834/tillsynsmail/A 39297-2024 tillsynsbegäran mail.docx", "A 39297-2024")</f>
        <v/>
      </c>
    </row>
    <row r="21" ht="15" customHeight="1">
      <c r="A21" t="inlineStr">
        <is>
          <t>A 21143-2019</t>
        </is>
      </c>
      <c r="B21" s="1" t="n">
        <v>43579</v>
      </c>
      <c r="C21" s="1" t="n">
        <v>45692</v>
      </c>
      <c r="D21" t="inlineStr">
        <is>
          <t>KALMAR LÄN</t>
        </is>
      </c>
      <c r="E21" t="inlineStr">
        <is>
          <t>TORSÅS</t>
        </is>
      </c>
      <c r="G21" t="n">
        <v>2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Mattlummer</t>
        </is>
      </c>
      <c r="S21">
        <f>HYPERLINK("https://klasma.github.io/Logging_0834/artfynd/A 21143-2019 artfynd.xlsx", "A 21143-2019")</f>
        <v/>
      </c>
      <c r="T21">
        <f>HYPERLINK("https://klasma.github.io/Logging_0834/kartor/A 21143-2019 karta.png", "A 21143-2019")</f>
        <v/>
      </c>
      <c r="V21">
        <f>HYPERLINK("https://klasma.github.io/Logging_0834/klagomål/A 21143-2019 FSC-klagomål.docx", "A 21143-2019")</f>
        <v/>
      </c>
      <c r="W21">
        <f>HYPERLINK("https://klasma.github.io/Logging_0834/klagomålsmail/A 21143-2019 FSC-klagomål mail.docx", "A 21143-2019")</f>
        <v/>
      </c>
      <c r="X21">
        <f>HYPERLINK("https://klasma.github.io/Logging_0834/tillsyn/A 21143-2019 tillsynsbegäran.docx", "A 21143-2019")</f>
        <v/>
      </c>
      <c r="Y21">
        <f>HYPERLINK("https://klasma.github.io/Logging_0834/tillsynsmail/A 21143-2019 tillsynsbegäran mail.docx", "A 21143-2019")</f>
        <v/>
      </c>
    </row>
    <row r="22" ht="15" customHeight="1">
      <c r="A22" t="inlineStr">
        <is>
          <t>A 36218-2019</t>
        </is>
      </c>
      <c r="B22" s="1" t="n">
        <v>43669</v>
      </c>
      <c r="C22" s="1" t="n">
        <v>45692</v>
      </c>
      <c r="D22" t="inlineStr">
        <is>
          <t>KALMAR LÄN</t>
        </is>
      </c>
      <c r="E22" t="inlineStr">
        <is>
          <t>TORSÅS</t>
        </is>
      </c>
      <c r="G22" t="n">
        <v>15.5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Rödlånke</t>
        </is>
      </c>
      <c r="S22">
        <f>HYPERLINK("https://klasma.github.io/Logging_0834/artfynd/A 36218-2019 artfynd.xlsx", "A 36218-2019")</f>
        <v/>
      </c>
      <c r="T22">
        <f>HYPERLINK("https://klasma.github.io/Logging_0834/kartor/A 36218-2019 karta.png", "A 36218-2019")</f>
        <v/>
      </c>
      <c r="V22">
        <f>HYPERLINK("https://klasma.github.io/Logging_0834/klagomål/A 36218-2019 FSC-klagomål.docx", "A 36218-2019")</f>
        <v/>
      </c>
      <c r="W22">
        <f>HYPERLINK("https://klasma.github.io/Logging_0834/klagomålsmail/A 36218-2019 FSC-klagomål mail.docx", "A 36218-2019")</f>
        <v/>
      </c>
      <c r="X22">
        <f>HYPERLINK("https://klasma.github.io/Logging_0834/tillsyn/A 36218-2019 tillsynsbegäran.docx", "A 36218-2019")</f>
        <v/>
      </c>
      <c r="Y22">
        <f>HYPERLINK("https://klasma.github.io/Logging_0834/tillsynsmail/A 36218-2019 tillsynsbegäran mail.docx", "A 36218-2019")</f>
        <v/>
      </c>
    </row>
    <row r="23" ht="15" customHeight="1">
      <c r="A23" t="inlineStr">
        <is>
          <t>A 37689-2019</t>
        </is>
      </c>
      <c r="B23" s="1" t="n">
        <v>43682</v>
      </c>
      <c r="C23" s="1" t="n">
        <v>45692</v>
      </c>
      <c r="D23" t="inlineStr">
        <is>
          <t>KALMAR LÄN</t>
        </is>
      </c>
      <c r="E23" t="inlineStr">
        <is>
          <t>TORSÅS</t>
        </is>
      </c>
      <c r="G23" t="n">
        <v>7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Sumpviol</t>
        </is>
      </c>
      <c r="S23">
        <f>HYPERLINK("https://klasma.github.io/Logging_0834/artfynd/A 37689-2019 artfynd.xlsx", "A 37689-2019")</f>
        <v/>
      </c>
      <c r="T23">
        <f>HYPERLINK("https://klasma.github.io/Logging_0834/kartor/A 37689-2019 karta.png", "A 37689-2019")</f>
        <v/>
      </c>
      <c r="V23">
        <f>HYPERLINK("https://klasma.github.io/Logging_0834/klagomål/A 37689-2019 FSC-klagomål.docx", "A 37689-2019")</f>
        <v/>
      </c>
      <c r="W23">
        <f>HYPERLINK("https://klasma.github.io/Logging_0834/klagomålsmail/A 37689-2019 FSC-klagomål mail.docx", "A 37689-2019")</f>
        <v/>
      </c>
      <c r="X23">
        <f>HYPERLINK("https://klasma.github.io/Logging_0834/tillsyn/A 37689-2019 tillsynsbegäran.docx", "A 37689-2019")</f>
        <v/>
      </c>
      <c r="Y23">
        <f>HYPERLINK("https://klasma.github.io/Logging_0834/tillsynsmail/A 37689-2019 tillsynsbegäran mail.docx", "A 37689-2019")</f>
        <v/>
      </c>
    </row>
    <row r="24" ht="15" customHeight="1">
      <c r="A24" t="inlineStr">
        <is>
          <t>A 39728-2019</t>
        </is>
      </c>
      <c r="B24" s="1" t="n">
        <v>43691</v>
      </c>
      <c r="C24" s="1" t="n">
        <v>45692</v>
      </c>
      <c r="D24" t="inlineStr">
        <is>
          <t>KALMAR LÄN</t>
        </is>
      </c>
      <c r="E24" t="inlineStr">
        <is>
          <t>TORSÅS</t>
        </is>
      </c>
      <c r="G24" t="n">
        <v>4.6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Gullviva</t>
        </is>
      </c>
      <c r="S24">
        <f>HYPERLINK("https://klasma.github.io/Logging_0834/artfynd/A 39728-2019 artfynd.xlsx", "A 39728-2019")</f>
        <v/>
      </c>
      <c r="T24">
        <f>HYPERLINK("https://klasma.github.io/Logging_0834/kartor/A 39728-2019 karta.png", "A 39728-2019")</f>
        <v/>
      </c>
      <c r="V24">
        <f>HYPERLINK("https://klasma.github.io/Logging_0834/klagomål/A 39728-2019 FSC-klagomål.docx", "A 39728-2019")</f>
        <v/>
      </c>
      <c r="W24">
        <f>HYPERLINK("https://klasma.github.io/Logging_0834/klagomålsmail/A 39728-2019 FSC-klagomål mail.docx", "A 39728-2019")</f>
        <v/>
      </c>
      <c r="X24">
        <f>HYPERLINK("https://klasma.github.io/Logging_0834/tillsyn/A 39728-2019 tillsynsbegäran.docx", "A 39728-2019")</f>
        <v/>
      </c>
      <c r="Y24">
        <f>HYPERLINK("https://klasma.github.io/Logging_0834/tillsynsmail/A 39728-2019 tillsynsbegäran mail.docx", "A 39728-2019")</f>
        <v/>
      </c>
    </row>
    <row r="25" ht="15" customHeight="1">
      <c r="A25" t="inlineStr">
        <is>
          <t>A 42211-2019</t>
        </is>
      </c>
      <c r="B25" s="1" t="n">
        <v>43703</v>
      </c>
      <c r="C25" s="1" t="n">
        <v>45692</v>
      </c>
      <c r="D25" t="inlineStr">
        <is>
          <t>KALMAR LÄN</t>
        </is>
      </c>
      <c r="E25" t="inlineStr">
        <is>
          <t>TORSÅS</t>
        </is>
      </c>
      <c r="G25" t="n">
        <v>2.3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1</v>
      </c>
      <c r="O25" t="n">
        <v>1</v>
      </c>
      <c r="P25" t="n">
        <v>0</v>
      </c>
      <c r="Q25" t="n">
        <v>1</v>
      </c>
      <c r="R25" s="2" t="inlineStr">
        <is>
          <t>Pimpinellros</t>
        </is>
      </c>
      <c r="S25">
        <f>HYPERLINK("https://klasma.github.io/Logging_0834/artfynd/A 42211-2019 artfynd.xlsx", "A 42211-2019")</f>
        <v/>
      </c>
      <c r="T25">
        <f>HYPERLINK("https://klasma.github.io/Logging_0834/kartor/A 42211-2019 karta.png", "A 42211-2019")</f>
        <v/>
      </c>
      <c r="V25">
        <f>HYPERLINK("https://klasma.github.io/Logging_0834/klagomål/A 42211-2019 FSC-klagomål.docx", "A 42211-2019")</f>
        <v/>
      </c>
      <c r="W25">
        <f>HYPERLINK("https://klasma.github.io/Logging_0834/klagomålsmail/A 42211-2019 FSC-klagomål mail.docx", "A 42211-2019")</f>
        <v/>
      </c>
      <c r="X25">
        <f>HYPERLINK("https://klasma.github.io/Logging_0834/tillsyn/A 42211-2019 tillsynsbegäran.docx", "A 42211-2019")</f>
        <v/>
      </c>
      <c r="Y25">
        <f>HYPERLINK("https://klasma.github.io/Logging_0834/tillsynsmail/A 42211-2019 tillsynsbegäran mail.docx", "A 42211-2019")</f>
        <v/>
      </c>
    </row>
    <row r="26" ht="15" customHeight="1">
      <c r="A26" t="inlineStr">
        <is>
          <t>A 42206-2019</t>
        </is>
      </c>
      <c r="B26" s="1" t="n">
        <v>43703</v>
      </c>
      <c r="C26" s="1" t="n">
        <v>45692</v>
      </c>
      <c r="D26" t="inlineStr">
        <is>
          <t>KALMAR LÄN</t>
        </is>
      </c>
      <c r="E26" t="inlineStr">
        <is>
          <t>TORSÅS</t>
        </is>
      </c>
      <c r="G26" t="n">
        <v>13.3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Hasselmus</t>
        </is>
      </c>
      <c r="S26">
        <f>HYPERLINK("https://klasma.github.io/Logging_0834/artfynd/A 42206-2019 artfynd.xlsx", "A 42206-2019")</f>
        <v/>
      </c>
      <c r="T26">
        <f>HYPERLINK("https://klasma.github.io/Logging_0834/kartor/A 42206-2019 karta.png", "A 42206-2019")</f>
        <v/>
      </c>
      <c r="V26">
        <f>HYPERLINK("https://klasma.github.io/Logging_0834/klagomål/A 42206-2019 FSC-klagomål.docx", "A 42206-2019")</f>
        <v/>
      </c>
      <c r="W26">
        <f>HYPERLINK("https://klasma.github.io/Logging_0834/klagomålsmail/A 42206-2019 FSC-klagomål mail.docx", "A 42206-2019")</f>
        <v/>
      </c>
      <c r="X26">
        <f>HYPERLINK("https://klasma.github.io/Logging_0834/tillsyn/A 42206-2019 tillsynsbegäran.docx", "A 42206-2019")</f>
        <v/>
      </c>
      <c r="Y26">
        <f>HYPERLINK("https://klasma.github.io/Logging_0834/tillsynsmail/A 42206-2019 tillsynsbegäran mail.docx", "A 42206-2019")</f>
        <v/>
      </c>
    </row>
    <row r="27" ht="15" customHeight="1">
      <c r="A27" t="inlineStr">
        <is>
          <t>A 47710-2019</t>
        </is>
      </c>
      <c r="B27" s="1" t="n">
        <v>43724</v>
      </c>
      <c r="C27" s="1" t="n">
        <v>45692</v>
      </c>
      <c r="D27" t="inlineStr">
        <is>
          <t>KALMAR LÄN</t>
        </is>
      </c>
      <c r="E27" t="inlineStr">
        <is>
          <t>TORSÅS</t>
        </is>
      </c>
      <c r="G27" t="n">
        <v>8.9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Gullviva</t>
        </is>
      </c>
      <c r="S27">
        <f>HYPERLINK("https://klasma.github.io/Logging_0834/artfynd/A 47710-2019 artfynd.xlsx", "A 47710-2019")</f>
        <v/>
      </c>
      <c r="T27">
        <f>HYPERLINK("https://klasma.github.io/Logging_0834/kartor/A 47710-2019 karta.png", "A 47710-2019")</f>
        <v/>
      </c>
      <c r="V27">
        <f>HYPERLINK("https://klasma.github.io/Logging_0834/klagomål/A 47710-2019 FSC-klagomål.docx", "A 47710-2019")</f>
        <v/>
      </c>
      <c r="W27">
        <f>HYPERLINK("https://klasma.github.io/Logging_0834/klagomålsmail/A 47710-2019 FSC-klagomål mail.docx", "A 47710-2019")</f>
        <v/>
      </c>
      <c r="X27">
        <f>HYPERLINK("https://klasma.github.io/Logging_0834/tillsyn/A 47710-2019 tillsynsbegäran.docx", "A 47710-2019")</f>
        <v/>
      </c>
      <c r="Y27">
        <f>HYPERLINK("https://klasma.github.io/Logging_0834/tillsynsmail/A 47710-2019 tillsynsbegäran mail.docx", "A 47710-2019")</f>
        <v/>
      </c>
    </row>
    <row r="28" ht="15" customHeight="1">
      <c r="A28" t="inlineStr">
        <is>
          <t>A 15136-2020</t>
        </is>
      </c>
      <c r="B28" s="1" t="n">
        <v>43911</v>
      </c>
      <c r="C28" s="1" t="n">
        <v>45692</v>
      </c>
      <c r="D28" t="inlineStr">
        <is>
          <t>KALMAR LÄN</t>
        </is>
      </c>
      <c r="E28" t="inlineStr">
        <is>
          <t>TORSÅS</t>
        </is>
      </c>
      <c r="G28" t="n">
        <v>2.3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Mindre hackspett</t>
        </is>
      </c>
      <c r="S28">
        <f>HYPERLINK("https://klasma.github.io/Logging_0834/artfynd/A 15136-2020 artfynd.xlsx", "A 15136-2020")</f>
        <v/>
      </c>
      <c r="T28">
        <f>HYPERLINK("https://klasma.github.io/Logging_0834/kartor/A 15136-2020 karta.png", "A 15136-2020")</f>
        <v/>
      </c>
      <c r="V28">
        <f>HYPERLINK("https://klasma.github.io/Logging_0834/klagomål/A 15136-2020 FSC-klagomål.docx", "A 15136-2020")</f>
        <v/>
      </c>
      <c r="W28">
        <f>HYPERLINK("https://klasma.github.io/Logging_0834/klagomålsmail/A 15136-2020 FSC-klagomål mail.docx", "A 15136-2020")</f>
        <v/>
      </c>
      <c r="X28">
        <f>HYPERLINK("https://klasma.github.io/Logging_0834/tillsyn/A 15136-2020 tillsynsbegäran.docx", "A 15136-2020")</f>
        <v/>
      </c>
      <c r="Y28">
        <f>HYPERLINK("https://klasma.github.io/Logging_0834/tillsynsmail/A 15136-2020 tillsynsbegäran mail.docx", "A 15136-2020")</f>
        <v/>
      </c>
      <c r="Z28">
        <f>HYPERLINK("https://klasma.github.io/Logging_0834/fåglar/A 15136-2020 prioriterade fågelarter.docx", "A 15136-2020")</f>
        <v/>
      </c>
    </row>
    <row r="29" ht="15" customHeight="1">
      <c r="A29" t="inlineStr">
        <is>
          <t>A 47536-2020</t>
        </is>
      </c>
      <c r="B29" s="1" t="n">
        <v>44098</v>
      </c>
      <c r="C29" s="1" t="n">
        <v>45692</v>
      </c>
      <c r="D29" t="inlineStr">
        <is>
          <t>KALMAR LÄN</t>
        </is>
      </c>
      <c r="E29" t="inlineStr">
        <is>
          <t>TORSÅS</t>
        </is>
      </c>
      <c r="G29" t="n">
        <v>2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Gullviva</t>
        </is>
      </c>
      <c r="S29">
        <f>HYPERLINK("https://klasma.github.io/Logging_0834/artfynd/A 47536-2020 artfynd.xlsx", "A 47536-2020")</f>
        <v/>
      </c>
      <c r="T29">
        <f>HYPERLINK("https://klasma.github.io/Logging_0834/kartor/A 47536-2020 karta.png", "A 47536-2020")</f>
        <v/>
      </c>
      <c r="V29">
        <f>HYPERLINK("https://klasma.github.io/Logging_0834/klagomål/A 47536-2020 FSC-klagomål.docx", "A 47536-2020")</f>
        <v/>
      </c>
      <c r="W29">
        <f>HYPERLINK("https://klasma.github.io/Logging_0834/klagomålsmail/A 47536-2020 FSC-klagomål mail.docx", "A 47536-2020")</f>
        <v/>
      </c>
      <c r="X29">
        <f>HYPERLINK("https://klasma.github.io/Logging_0834/tillsyn/A 47536-2020 tillsynsbegäran.docx", "A 47536-2020")</f>
        <v/>
      </c>
      <c r="Y29">
        <f>HYPERLINK("https://klasma.github.io/Logging_0834/tillsynsmail/A 47536-2020 tillsynsbegäran mail.docx", "A 47536-2020")</f>
        <v/>
      </c>
    </row>
    <row r="30" ht="15" customHeight="1">
      <c r="A30" t="inlineStr">
        <is>
          <t>A 49211-2020</t>
        </is>
      </c>
      <c r="B30" s="1" t="n">
        <v>44105</v>
      </c>
      <c r="C30" s="1" t="n">
        <v>45692</v>
      </c>
      <c r="D30" t="inlineStr">
        <is>
          <t>KALMAR LÄN</t>
        </is>
      </c>
      <c r="E30" t="inlineStr">
        <is>
          <t>TORSÅS</t>
        </is>
      </c>
      <c r="G30" t="n">
        <v>3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Tallticka</t>
        </is>
      </c>
      <c r="S30">
        <f>HYPERLINK("https://klasma.github.io/Logging_0834/artfynd/A 49211-2020 artfynd.xlsx", "A 49211-2020")</f>
        <v/>
      </c>
      <c r="T30">
        <f>HYPERLINK("https://klasma.github.io/Logging_0834/kartor/A 49211-2020 karta.png", "A 49211-2020")</f>
        <v/>
      </c>
      <c r="V30">
        <f>HYPERLINK("https://klasma.github.io/Logging_0834/klagomål/A 49211-2020 FSC-klagomål.docx", "A 49211-2020")</f>
        <v/>
      </c>
      <c r="W30">
        <f>HYPERLINK("https://klasma.github.io/Logging_0834/klagomålsmail/A 49211-2020 FSC-klagomål mail.docx", "A 49211-2020")</f>
        <v/>
      </c>
      <c r="X30">
        <f>HYPERLINK("https://klasma.github.io/Logging_0834/tillsyn/A 49211-2020 tillsynsbegäran.docx", "A 49211-2020")</f>
        <v/>
      </c>
      <c r="Y30">
        <f>HYPERLINK("https://klasma.github.io/Logging_0834/tillsynsmail/A 49211-2020 tillsynsbegäran mail.docx", "A 49211-2020")</f>
        <v/>
      </c>
    </row>
    <row r="31" ht="15" customHeight="1">
      <c r="A31" t="inlineStr">
        <is>
          <t>A 53918-2020</t>
        </is>
      </c>
      <c r="B31" s="1" t="n">
        <v>44125</v>
      </c>
      <c r="C31" s="1" t="n">
        <v>45692</v>
      </c>
      <c r="D31" t="inlineStr">
        <is>
          <t>KALMAR LÄN</t>
        </is>
      </c>
      <c r="E31" t="inlineStr">
        <is>
          <t>TORSÅS</t>
        </is>
      </c>
      <c r="G31" t="n">
        <v>8.300000000000001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Småjungfrukam</t>
        </is>
      </c>
      <c r="S31">
        <f>HYPERLINK("https://klasma.github.io/Logging_0834/artfynd/A 53918-2020 artfynd.xlsx", "A 53918-2020")</f>
        <v/>
      </c>
      <c r="T31">
        <f>HYPERLINK("https://klasma.github.io/Logging_0834/kartor/A 53918-2020 karta.png", "A 53918-2020")</f>
        <v/>
      </c>
      <c r="V31">
        <f>HYPERLINK("https://klasma.github.io/Logging_0834/klagomål/A 53918-2020 FSC-klagomål.docx", "A 53918-2020")</f>
        <v/>
      </c>
      <c r="W31">
        <f>HYPERLINK("https://klasma.github.io/Logging_0834/klagomålsmail/A 53918-2020 FSC-klagomål mail.docx", "A 53918-2020")</f>
        <v/>
      </c>
      <c r="X31">
        <f>HYPERLINK("https://klasma.github.io/Logging_0834/tillsyn/A 53918-2020 tillsynsbegäran.docx", "A 53918-2020")</f>
        <v/>
      </c>
      <c r="Y31">
        <f>HYPERLINK("https://klasma.github.io/Logging_0834/tillsynsmail/A 53918-2020 tillsynsbegäran mail.docx", "A 53918-2020")</f>
        <v/>
      </c>
    </row>
    <row r="32" ht="15" customHeight="1">
      <c r="A32" t="inlineStr">
        <is>
          <t>A 5861-2021</t>
        </is>
      </c>
      <c r="B32" s="1" t="n">
        <v>44231</v>
      </c>
      <c r="C32" s="1" t="n">
        <v>45692</v>
      </c>
      <c r="D32" t="inlineStr">
        <is>
          <t>KALMAR LÄN</t>
        </is>
      </c>
      <c r="E32" t="inlineStr">
        <is>
          <t>TORSÅS</t>
        </is>
      </c>
      <c r="G32" t="n">
        <v>4.2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1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Skogsalm</t>
        </is>
      </c>
      <c r="S32">
        <f>HYPERLINK("https://klasma.github.io/Logging_0834/artfynd/A 5861-2021 artfynd.xlsx", "A 5861-2021")</f>
        <v/>
      </c>
      <c r="T32">
        <f>HYPERLINK("https://klasma.github.io/Logging_0834/kartor/A 5861-2021 karta.png", "A 5861-2021")</f>
        <v/>
      </c>
      <c r="V32">
        <f>HYPERLINK("https://klasma.github.io/Logging_0834/klagomål/A 5861-2021 FSC-klagomål.docx", "A 5861-2021")</f>
        <v/>
      </c>
      <c r="W32">
        <f>HYPERLINK("https://klasma.github.io/Logging_0834/klagomålsmail/A 5861-2021 FSC-klagomål mail.docx", "A 5861-2021")</f>
        <v/>
      </c>
      <c r="X32">
        <f>HYPERLINK("https://klasma.github.io/Logging_0834/tillsyn/A 5861-2021 tillsynsbegäran.docx", "A 5861-2021")</f>
        <v/>
      </c>
      <c r="Y32">
        <f>HYPERLINK("https://klasma.github.io/Logging_0834/tillsynsmail/A 5861-2021 tillsynsbegäran mail.docx", "A 5861-2021")</f>
        <v/>
      </c>
    </row>
    <row r="33" ht="15" customHeight="1">
      <c r="A33" t="inlineStr">
        <is>
          <t>A 11221-2021</t>
        </is>
      </c>
      <c r="B33" s="1" t="n">
        <v>44263</v>
      </c>
      <c r="C33" s="1" t="n">
        <v>45692</v>
      </c>
      <c r="D33" t="inlineStr">
        <is>
          <t>KALMAR LÄN</t>
        </is>
      </c>
      <c r="E33" t="inlineStr">
        <is>
          <t>TORSÅS</t>
        </is>
      </c>
      <c r="G33" t="n">
        <v>6.7</v>
      </c>
      <c r="H33" t="n">
        <v>0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Lungrot</t>
        </is>
      </c>
      <c r="S33">
        <f>HYPERLINK("https://klasma.github.io/Logging_0834/artfynd/A 11221-2021 artfynd.xlsx", "A 11221-2021")</f>
        <v/>
      </c>
      <c r="T33">
        <f>HYPERLINK("https://klasma.github.io/Logging_0834/kartor/A 11221-2021 karta.png", "A 11221-2021")</f>
        <v/>
      </c>
      <c r="V33">
        <f>HYPERLINK("https://klasma.github.io/Logging_0834/klagomål/A 11221-2021 FSC-klagomål.docx", "A 11221-2021")</f>
        <v/>
      </c>
      <c r="W33">
        <f>HYPERLINK("https://klasma.github.io/Logging_0834/klagomålsmail/A 11221-2021 FSC-klagomål mail.docx", "A 11221-2021")</f>
        <v/>
      </c>
      <c r="X33">
        <f>HYPERLINK("https://klasma.github.io/Logging_0834/tillsyn/A 11221-2021 tillsynsbegäran.docx", "A 11221-2021")</f>
        <v/>
      </c>
      <c r="Y33">
        <f>HYPERLINK("https://klasma.github.io/Logging_0834/tillsynsmail/A 11221-2021 tillsynsbegäran mail.docx", "A 11221-2021")</f>
        <v/>
      </c>
    </row>
    <row r="34" ht="15" customHeight="1">
      <c r="A34" t="inlineStr">
        <is>
          <t>A 12295-2021</t>
        </is>
      </c>
      <c r="B34" s="1" t="n">
        <v>44267</v>
      </c>
      <c r="C34" s="1" t="n">
        <v>45692</v>
      </c>
      <c r="D34" t="inlineStr">
        <is>
          <t>KALMAR LÄN</t>
        </is>
      </c>
      <c r="E34" t="inlineStr">
        <is>
          <t>TORSÅS</t>
        </is>
      </c>
      <c r="G34" t="n">
        <v>12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Revlummer</t>
        </is>
      </c>
      <c r="S34">
        <f>HYPERLINK("https://klasma.github.io/Logging_0834/artfynd/A 12295-2021 artfynd.xlsx", "A 12295-2021")</f>
        <v/>
      </c>
      <c r="T34">
        <f>HYPERLINK("https://klasma.github.io/Logging_0834/kartor/A 12295-2021 karta.png", "A 12295-2021")</f>
        <v/>
      </c>
      <c r="V34">
        <f>HYPERLINK("https://klasma.github.io/Logging_0834/klagomål/A 12295-2021 FSC-klagomål.docx", "A 12295-2021")</f>
        <v/>
      </c>
      <c r="W34">
        <f>HYPERLINK("https://klasma.github.io/Logging_0834/klagomålsmail/A 12295-2021 FSC-klagomål mail.docx", "A 12295-2021")</f>
        <v/>
      </c>
      <c r="X34">
        <f>HYPERLINK("https://klasma.github.io/Logging_0834/tillsyn/A 12295-2021 tillsynsbegäran.docx", "A 12295-2021")</f>
        <v/>
      </c>
      <c r="Y34">
        <f>HYPERLINK("https://klasma.github.io/Logging_0834/tillsynsmail/A 12295-2021 tillsynsbegäran mail.docx", "A 12295-2021")</f>
        <v/>
      </c>
    </row>
    <row r="35" ht="15" customHeight="1">
      <c r="A35" t="inlineStr">
        <is>
          <t>A 49001-2021</t>
        </is>
      </c>
      <c r="B35" s="1" t="n">
        <v>44453</v>
      </c>
      <c r="C35" s="1" t="n">
        <v>45692</v>
      </c>
      <c r="D35" t="inlineStr">
        <is>
          <t>KALMAR LÄN</t>
        </is>
      </c>
      <c r="E35" t="inlineStr">
        <is>
          <t>TORSÅS</t>
        </is>
      </c>
      <c r="G35" t="n">
        <v>1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Blåmossa</t>
        </is>
      </c>
      <c r="S35">
        <f>HYPERLINK("https://klasma.github.io/Logging_0834/artfynd/A 49001-2021 artfynd.xlsx", "A 49001-2021")</f>
        <v/>
      </c>
      <c r="T35">
        <f>HYPERLINK("https://klasma.github.io/Logging_0834/kartor/A 49001-2021 karta.png", "A 49001-2021")</f>
        <v/>
      </c>
      <c r="V35">
        <f>HYPERLINK("https://klasma.github.io/Logging_0834/klagomål/A 49001-2021 FSC-klagomål.docx", "A 49001-2021")</f>
        <v/>
      </c>
      <c r="W35">
        <f>HYPERLINK("https://klasma.github.io/Logging_0834/klagomålsmail/A 49001-2021 FSC-klagomål mail.docx", "A 49001-2021")</f>
        <v/>
      </c>
      <c r="X35">
        <f>HYPERLINK("https://klasma.github.io/Logging_0834/tillsyn/A 49001-2021 tillsynsbegäran.docx", "A 49001-2021")</f>
        <v/>
      </c>
      <c r="Y35">
        <f>HYPERLINK("https://klasma.github.io/Logging_0834/tillsynsmail/A 49001-2021 tillsynsbegäran mail.docx", "A 49001-2021")</f>
        <v/>
      </c>
    </row>
    <row r="36" ht="15" customHeight="1">
      <c r="A36" t="inlineStr">
        <is>
          <t>A 49410-2021</t>
        </is>
      </c>
      <c r="B36" s="1" t="n">
        <v>44454</v>
      </c>
      <c r="C36" s="1" t="n">
        <v>45692</v>
      </c>
      <c r="D36" t="inlineStr">
        <is>
          <t>KALMAR LÄN</t>
        </is>
      </c>
      <c r="E36" t="inlineStr">
        <is>
          <t>TORSÅS</t>
        </is>
      </c>
      <c r="G36" t="n">
        <v>0.6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Nattviol</t>
        </is>
      </c>
      <c r="S36">
        <f>HYPERLINK("https://klasma.github.io/Logging_0834/artfynd/A 49410-2021 artfynd.xlsx", "A 49410-2021")</f>
        <v/>
      </c>
      <c r="T36">
        <f>HYPERLINK("https://klasma.github.io/Logging_0834/kartor/A 49410-2021 karta.png", "A 49410-2021")</f>
        <v/>
      </c>
      <c r="V36">
        <f>HYPERLINK("https://klasma.github.io/Logging_0834/klagomål/A 49410-2021 FSC-klagomål.docx", "A 49410-2021")</f>
        <v/>
      </c>
      <c r="W36">
        <f>HYPERLINK("https://klasma.github.io/Logging_0834/klagomålsmail/A 49410-2021 FSC-klagomål mail.docx", "A 49410-2021")</f>
        <v/>
      </c>
      <c r="X36">
        <f>HYPERLINK("https://klasma.github.io/Logging_0834/tillsyn/A 49410-2021 tillsynsbegäran.docx", "A 49410-2021")</f>
        <v/>
      </c>
      <c r="Y36">
        <f>HYPERLINK("https://klasma.github.io/Logging_0834/tillsynsmail/A 49410-2021 tillsynsbegäran mail.docx", "A 49410-2021")</f>
        <v/>
      </c>
    </row>
    <row r="37" ht="15" customHeight="1">
      <c r="A37" t="inlineStr">
        <is>
          <t>A 831-2022</t>
        </is>
      </c>
      <c r="B37" s="1" t="n">
        <v>44571</v>
      </c>
      <c r="C37" s="1" t="n">
        <v>45692</v>
      </c>
      <c r="D37" t="inlineStr">
        <is>
          <t>KALMAR LÄN</t>
        </is>
      </c>
      <c r="E37" t="inlineStr">
        <is>
          <t>TORSÅS</t>
        </is>
      </c>
      <c r="G37" t="n">
        <v>0.5</v>
      </c>
      <c r="H37" t="n">
        <v>1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Knärot</t>
        </is>
      </c>
      <c r="S37">
        <f>HYPERLINK("https://klasma.github.io/Logging_0834/artfynd/A 831-2022 artfynd.xlsx", "A 831-2022")</f>
        <v/>
      </c>
      <c r="T37">
        <f>HYPERLINK("https://klasma.github.io/Logging_0834/kartor/A 831-2022 karta.png", "A 831-2022")</f>
        <v/>
      </c>
      <c r="U37">
        <f>HYPERLINK("https://klasma.github.io/Logging_0834/knärot/A 831-2022 karta knärot.png", "A 831-2022")</f>
        <v/>
      </c>
      <c r="V37">
        <f>HYPERLINK("https://klasma.github.io/Logging_0834/klagomål/A 831-2022 FSC-klagomål.docx", "A 831-2022")</f>
        <v/>
      </c>
      <c r="W37">
        <f>HYPERLINK("https://klasma.github.io/Logging_0834/klagomålsmail/A 831-2022 FSC-klagomål mail.docx", "A 831-2022")</f>
        <v/>
      </c>
      <c r="X37">
        <f>HYPERLINK("https://klasma.github.io/Logging_0834/tillsyn/A 831-2022 tillsynsbegäran.docx", "A 831-2022")</f>
        <v/>
      </c>
      <c r="Y37">
        <f>HYPERLINK("https://klasma.github.io/Logging_0834/tillsynsmail/A 831-2022 tillsynsbegäran mail.docx", "A 831-2022")</f>
        <v/>
      </c>
    </row>
    <row r="38" ht="15" customHeight="1">
      <c r="A38" t="inlineStr">
        <is>
          <t>A 5755-2022</t>
        </is>
      </c>
      <c r="B38" s="1" t="n">
        <v>44596</v>
      </c>
      <c r="C38" s="1" t="n">
        <v>45692</v>
      </c>
      <c r="D38" t="inlineStr">
        <is>
          <t>KALMAR LÄN</t>
        </is>
      </c>
      <c r="E38" t="inlineStr">
        <is>
          <t>TORSÅS</t>
        </is>
      </c>
      <c r="G38" t="n">
        <v>1.4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Åkerkål</t>
        </is>
      </c>
      <c r="S38">
        <f>HYPERLINK("https://klasma.github.io/Logging_0834/artfynd/A 5755-2022 artfynd.xlsx", "A 5755-2022")</f>
        <v/>
      </c>
      <c r="T38">
        <f>HYPERLINK("https://klasma.github.io/Logging_0834/kartor/A 5755-2022 karta.png", "A 5755-2022")</f>
        <v/>
      </c>
      <c r="V38">
        <f>HYPERLINK("https://klasma.github.io/Logging_0834/klagomål/A 5755-2022 FSC-klagomål.docx", "A 5755-2022")</f>
        <v/>
      </c>
      <c r="W38">
        <f>HYPERLINK("https://klasma.github.io/Logging_0834/klagomålsmail/A 5755-2022 FSC-klagomål mail.docx", "A 5755-2022")</f>
        <v/>
      </c>
      <c r="X38">
        <f>HYPERLINK("https://klasma.github.io/Logging_0834/tillsyn/A 5755-2022 tillsynsbegäran.docx", "A 5755-2022")</f>
        <v/>
      </c>
      <c r="Y38">
        <f>HYPERLINK("https://klasma.github.io/Logging_0834/tillsynsmail/A 5755-2022 tillsynsbegäran mail.docx", "A 5755-2022")</f>
        <v/>
      </c>
    </row>
    <row r="39" ht="15" customHeight="1">
      <c r="A39" t="inlineStr">
        <is>
          <t>A 36625-2022</t>
        </is>
      </c>
      <c r="B39" s="1" t="n">
        <v>44804</v>
      </c>
      <c r="C39" s="1" t="n">
        <v>45692</v>
      </c>
      <c r="D39" t="inlineStr">
        <is>
          <t>KALMAR LÄN</t>
        </is>
      </c>
      <c r="E39" t="inlineStr">
        <is>
          <t>TORSÅS</t>
        </is>
      </c>
      <c r="G39" t="n">
        <v>7.5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Stor revmossa</t>
        </is>
      </c>
      <c r="S39">
        <f>HYPERLINK("https://klasma.github.io/Logging_0834/artfynd/A 36625-2022 artfynd.xlsx", "A 36625-2022")</f>
        <v/>
      </c>
      <c r="T39">
        <f>HYPERLINK("https://klasma.github.io/Logging_0834/kartor/A 36625-2022 karta.png", "A 36625-2022")</f>
        <v/>
      </c>
      <c r="V39">
        <f>HYPERLINK("https://klasma.github.io/Logging_0834/klagomål/A 36625-2022 FSC-klagomål.docx", "A 36625-2022")</f>
        <v/>
      </c>
      <c r="W39">
        <f>HYPERLINK("https://klasma.github.io/Logging_0834/klagomålsmail/A 36625-2022 FSC-klagomål mail.docx", "A 36625-2022")</f>
        <v/>
      </c>
      <c r="X39">
        <f>HYPERLINK("https://klasma.github.io/Logging_0834/tillsyn/A 36625-2022 tillsynsbegäran.docx", "A 36625-2022")</f>
        <v/>
      </c>
      <c r="Y39">
        <f>HYPERLINK("https://klasma.github.io/Logging_0834/tillsynsmail/A 36625-2022 tillsynsbegäran mail.docx", "A 36625-2022")</f>
        <v/>
      </c>
    </row>
    <row r="40" ht="15" customHeight="1">
      <c r="A40" t="inlineStr">
        <is>
          <t>A 9688-2023</t>
        </is>
      </c>
      <c r="B40" s="1" t="n">
        <v>44984</v>
      </c>
      <c r="C40" s="1" t="n">
        <v>45692</v>
      </c>
      <c r="D40" t="inlineStr">
        <is>
          <t>KALMAR LÄN</t>
        </is>
      </c>
      <c r="E40" t="inlineStr">
        <is>
          <t>TORSÅS</t>
        </is>
      </c>
      <c r="G40" t="n">
        <v>3.3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Gullviva</t>
        </is>
      </c>
      <c r="S40">
        <f>HYPERLINK("https://klasma.github.io/Logging_0834/artfynd/A 9688-2023 artfynd.xlsx", "A 9688-2023")</f>
        <v/>
      </c>
      <c r="T40">
        <f>HYPERLINK("https://klasma.github.io/Logging_0834/kartor/A 9688-2023 karta.png", "A 9688-2023")</f>
        <v/>
      </c>
      <c r="V40">
        <f>HYPERLINK("https://klasma.github.io/Logging_0834/klagomål/A 9688-2023 FSC-klagomål.docx", "A 9688-2023")</f>
        <v/>
      </c>
      <c r="W40">
        <f>HYPERLINK("https://klasma.github.io/Logging_0834/klagomålsmail/A 9688-2023 FSC-klagomål mail.docx", "A 9688-2023")</f>
        <v/>
      </c>
      <c r="X40">
        <f>HYPERLINK("https://klasma.github.io/Logging_0834/tillsyn/A 9688-2023 tillsynsbegäran.docx", "A 9688-2023")</f>
        <v/>
      </c>
      <c r="Y40">
        <f>HYPERLINK("https://klasma.github.io/Logging_0834/tillsynsmail/A 9688-2023 tillsynsbegäran mail.docx", "A 9688-2023")</f>
        <v/>
      </c>
    </row>
    <row r="41" ht="15" customHeight="1">
      <c r="A41" t="inlineStr">
        <is>
          <t>A 15376-2023</t>
        </is>
      </c>
      <c r="B41" s="1" t="n">
        <v>45019</v>
      </c>
      <c r="C41" s="1" t="n">
        <v>45692</v>
      </c>
      <c r="D41" t="inlineStr">
        <is>
          <t>KALMAR LÄN</t>
        </is>
      </c>
      <c r="E41" t="inlineStr">
        <is>
          <t>TORSÅS</t>
        </is>
      </c>
      <c r="G41" t="n">
        <v>1.8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Långbensgroda</t>
        </is>
      </c>
      <c r="S41">
        <f>HYPERLINK("https://klasma.github.io/Logging_0834/artfynd/A 15376-2023 artfynd.xlsx", "A 15376-2023")</f>
        <v/>
      </c>
      <c r="T41">
        <f>HYPERLINK("https://klasma.github.io/Logging_0834/kartor/A 15376-2023 karta.png", "A 15376-2023")</f>
        <v/>
      </c>
      <c r="V41">
        <f>HYPERLINK("https://klasma.github.io/Logging_0834/klagomål/A 15376-2023 FSC-klagomål.docx", "A 15376-2023")</f>
        <v/>
      </c>
      <c r="W41">
        <f>HYPERLINK("https://klasma.github.io/Logging_0834/klagomålsmail/A 15376-2023 FSC-klagomål mail.docx", "A 15376-2023")</f>
        <v/>
      </c>
      <c r="X41">
        <f>HYPERLINK("https://klasma.github.io/Logging_0834/tillsyn/A 15376-2023 tillsynsbegäran.docx", "A 15376-2023")</f>
        <v/>
      </c>
      <c r="Y41">
        <f>HYPERLINK("https://klasma.github.io/Logging_0834/tillsynsmail/A 15376-2023 tillsynsbegäran mail.docx", "A 15376-2023")</f>
        <v/>
      </c>
    </row>
    <row r="42" ht="15" customHeight="1">
      <c r="A42" t="inlineStr">
        <is>
          <t>A 24157-2023</t>
        </is>
      </c>
      <c r="B42" s="1" t="n">
        <v>45079</v>
      </c>
      <c r="C42" s="1" t="n">
        <v>45692</v>
      </c>
      <c r="D42" t="inlineStr">
        <is>
          <t>KALMAR LÄN</t>
        </is>
      </c>
      <c r="E42" t="inlineStr">
        <is>
          <t>TORSÅS</t>
        </is>
      </c>
      <c r="G42" t="n">
        <v>7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Grovticka</t>
        </is>
      </c>
      <c r="S42">
        <f>HYPERLINK("https://klasma.github.io/Logging_0834/artfynd/A 24157-2023 artfynd.xlsx", "A 24157-2023")</f>
        <v/>
      </c>
      <c r="T42">
        <f>HYPERLINK("https://klasma.github.io/Logging_0834/kartor/A 24157-2023 karta.png", "A 24157-2023")</f>
        <v/>
      </c>
      <c r="V42">
        <f>HYPERLINK("https://klasma.github.io/Logging_0834/klagomål/A 24157-2023 FSC-klagomål.docx", "A 24157-2023")</f>
        <v/>
      </c>
      <c r="W42">
        <f>HYPERLINK("https://klasma.github.io/Logging_0834/klagomålsmail/A 24157-2023 FSC-klagomål mail.docx", "A 24157-2023")</f>
        <v/>
      </c>
      <c r="X42">
        <f>HYPERLINK("https://klasma.github.io/Logging_0834/tillsyn/A 24157-2023 tillsynsbegäran.docx", "A 24157-2023")</f>
        <v/>
      </c>
      <c r="Y42">
        <f>HYPERLINK("https://klasma.github.io/Logging_0834/tillsynsmail/A 24157-2023 tillsynsbegäran mail.docx", "A 24157-2023")</f>
        <v/>
      </c>
    </row>
    <row r="43" ht="15" customHeight="1">
      <c r="A43" t="inlineStr">
        <is>
          <t>A 28456-2023</t>
        </is>
      </c>
      <c r="B43" s="1" t="n">
        <v>45103</v>
      </c>
      <c r="C43" s="1" t="n">
        <v>45692</v>
      </c>
      <c r="D43" t="inlineStr">
        <is>
          <t>KALMAR LÄN</t>
        </is>
      </c>
      <c r="E43" t="inlineStr">
        <is>
          <t>TORSÅS</t>
        </is>
      </c>
      <c r="G43" t="n">
        <v>1.3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Mörk dunört</t>
        </is>
      </c>
      <c r="S43">
        <f>HYPERLINK("https://klasma.github.io/Logging_0834/artfynd/A 28456-2023 artfynd.xlsx", "A 28456-2023")</f>
        <v/>
      </c>
      <c r="T43">
        <f>HYPERLINK("https://klasma.github.io/Logging_0834/kartor/A 28456-2023 karta.png", "A 28456-2023")</f>
        <v/>
      </c>
      <c r="V43">
        <f>HYPERLINK("https://klasma.github.io/Logging_0834/klagomål/A 28456-2023 FSC-klagomål.docx", "A 28456-2023")</f>
        <v/>
      </c>
      <c r="W43">
        <f>HYPERLINK("https://klasma.github.io/Logging_0834/klagomålsmail/A 28456-2023 FSC-klagomål mail.docx", "A 28456-2023")</f>
        <v/>
      </c>
      <c r="X43">
        <f>HYPERLINK("https://klasma.github.io/Logging_0834/tillsyn/A 28456-2023 tillsynsbegäran.docx", "A 28456-2023")</f>
        <v/>
      </c>
      <c r="Y43">
        <f>HYPERLINK("https://klasma.github.io/Logging_0834/tillsynsmail/A 28456-2023 tillsynsbegäran mail.docx", "A 28456-2023")</f>
        <v/>
      </c>
    </row>
    <row r="44" ht="15" customHeight="1">
      <c r="A44" t="inlineStr">
        <is>
          <t>A 37161-2023</t>
        </is>
      </c>
      <c r="B44" s="1" t="n">
        <v>45155</v>
      </c>
      <c r="C44" s="1" t="n">
        <v>45692</v>
      </c>
      <c r="D44" t="inlineStr">
        <is>
          <t>KALMAR LÄN</t>
        </is>
      </c>
      <c r="E44" t="inlineStr">
        <is>
          <t>TORSÅS</t>
        </is>
      </c>
      <c r="G44" t="n">
        <v>8.699999999999999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Gulnål</t>
        </is>
      </c>
      <c r="S44">
        <f>HYPERLINK("https://klasma.github.io/Logging_0834/artfynd/A 37161-2023 artfynd.xlsx", "A 37161-2023")</f>
        <v/>
      </c>
      <c r="T44">
        <f>HYPERLINK("https://klasma.github.io/Logging_0834/kartor/A 37161-2023 karta.png", "A 37161-2023")</f>
        <v/>
      </c>
      <c r="V44">
        <f>HYPERLINK("https://klasma.github.io/Logging_0834/klagomål/A 37161-2023 FSC-klagomål.docx", "A 37161-2023")</f>
        <v/>
      </c>
      <c r="W44">
        <f>HYPERLINK("https://klasma.github.io/Logging_0834/klagomålsmail/A 37161-2023 FSC-klagomål mail.docx", "A 37161-2023")</f>
        <v/>
      </c>
      <c r="X44">
        <f>HYPERLINK("https://klasma.github.io/Logging_0834/tillsyn/A 37161-2023 tillsynsbegäran.docx", "A 37161-2023")</f>
        <v/>
      </c>
      <c r="Y44">
        <f>HYPERLINK("https://klasma.github.io/Logging_0834/tillsynsmail/A 37161-2023 tillsynsbegäran mail.docx", "A 37161-2023")</f>
        <v/>
      </c>
    </row>
    <row r="45" ht="15" customHeight="1">
      <c r="A45" t="inlineStr">
        <is>
          <t>A 46032-2023</t>
        </is>
      </c>
      <c r="B45" s="1" t="n">
        <v>45196</v>
      </c>
      <c r="C45" s="1" t="n">
        <v>45692</v>
      </c>
      <c r="D45" t="inlineStr">
        <is>
          <t>KALMAR LÄN</t>
        </is>
      </c>
      <c r="E45" t="inlineStr">
        <is>
          <t>TORSÅS</t>
        </is>
      </c>
      <c r="G45" t="n">
        <v>2.1</v>
      </c>
      <c r="H45" t="n">
        <v>1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Knärot</t>
        </is>
      </c>
      <c r="S45">
        <f>HYPERLINK("https://klasma.github.io/Logging_0834/artfynd/A 46032-2023 artfynd.xlsx", "A 46032-2023")</f>
        <v/>
      </c>
      <c r="T45">
        <f>HYPERLINK("https://klasma.github.io/Logging_0834/kartor/A 46032-2023 karta.png", "A 46032-2023")</f>
        <v/>
      </c>
      <c r="U45">
        <f>HYPERLINK("https://klasma.github.io/Logging_0834/knärot/A 46032-2023 karta knärot.png", "A 46032-2023")</f>
        <v/>
      </c>
      <c r="V45">
        <f>HYPERLINK("https://klasma.github.io/Logging_0834/klagomål/A 46032-2023 FSC-klagomål.docx", "A 46032-2023")</f>
        <v/>
      </c>
      <c r="W45">
        <f>HYPERLINK("https://klasma.github.io/Logging_0834/klagomålsmail/A 46032-2023 FSC-klagomål mail.docx", "A 46032-2023")</f>
        <v/>
      </c>
      <c r="X45">
        <f>HYPERLINK("https://klasma.github.io/Logging_0834/tillsyn/A 46032-2023 tillsynsbegäran.docx", "A 46032-2023")</f>
        <v/>
      </c>
      <c r="Y45">
        <f>HYPERLINK("https://klasma.github.io/Logging_0834/tillsynsmail/A 46032-2023 tillsynsbegäran mail.docx", "A 46032-2023")</f>
        <v/>
      </c>
    </row>
    <row r="46" ht="15" customHeight="1">
      <c r="A46" t="inlineStr">
        <is>
          <t>A 52607-2023</t>
        </is>
      </c>
      <c r="B46" s="1" t="n">
        <v>45225</v>
      </c>
      <c r="C46" s="1" t="n">
        <v>45692</v>
      </c>
      <c r="D46" t="inlineStr">
        <is>
          <t>KALMAR LÄN</t>
        </is>
      </c>
      <c r="E46" t="inlineStr">
        <is>
          <t>TORSÅS</t>
        </is>
      </c>
      <c r="G46" t="n">
        <v>2.6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Grönpyrola</t>
        </is>
      </c>
      <c r="S46">
        <f>HYPERLINK("https://klasma.github.io/Logging_0834/artfynd/A 52607-2023 artfynd.xlsx", "A 52607-2023")</f>
        <v/>
      </c>
      <c r="T46">
        <f>HYPERLINK("https://klasma.github.io/Logging_0834/kartor/A 52607-2023 karta.png", "A 52607-2023")</f>
        <v/>
      </c>
      <c r="V46">
        <f>HYPERLINK("https://klasma.github.io/Logging_0834/klagomål/A 52607-2023 FSC-klagomål.docx", "A 52607-2023")</f>
        <v/>
      </c>
      <c r="W46">
        <f>HYPERLINK("https://klasma.github.io/Logging_0834/klagomålsmail/A 52607-2023 FSC-klagomål mail.docx", "A 52607-2023")</f>
        <v/>
      </c>
      <c r="X46">
        <f>HYPERLINK("https://klasma.github.io/Logging_0834/tillsyn/A 52607-2023 tillsynsbegäran.docx", "A 52607-2023")</f>
        <v/>
      </c>
      <c r="Y46">
        <f>HYPERLINK("https://klasma.github.io/Logging_0834/tillsynsmail/A 52607-2023 tillsynsbegäran mail.docx", "A 52607-2023")</f>
        <v/>
      </c>
    </row>
    <row r="47" ht="15" customHeight="1">
      <c r="A47" t="inlineStr">
        <is>
          <t>A 59361-2023</t>
        </is>
      </c>
      <c r="B47" s="1" t="n">
        <v>45253</v>
      </c>
      <c r="C47" s="1" t="n">
        <v>45692</v>
      </c>
      <c r="D47" t="inlineStr">
        <is>
          <t>KALMAR LÄN</t>
        </is>
      </c>
      <c r="E47" t="inlineStr">
        <is>
          <t>TORSÅS</t>
        </is>
      </c>
      <c r="G47" t="n">
        <v>1.7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Murgröna</t>
        </is>
      </c>
      <c r="S47">
        <f>HYPERLINK("https://klasma.github.io/Logging_0834/artfynd/A 59361-2023 artfynd.xlsx", "A 59361-2023")</f>
        <v/>
      </c>
      <c r="T47">
        <f>HYPERLINK("https://klasma.github.io/Logging_0834/kartor/A 59361-2023 karta.png", "A 59361-2023")</f>
        <v/>
      </c>
      <c r="V47">
        <f>HYPERLINK("https://klasma.github.io/Logging_0834/klagomål/A 59361-2023 FSC-klagomål.docx", "A 59361-2023")</f>
        <v/>
      </c>
      <c r="W47">
        <f>HYPERLINK("https://klasma.github.io/Logging_0834/klagomålsmail/A 59361-2023 FSC-klagomål mail.docx", "A 59361-2023")</f>
        <v/>
      </c>
      <c r="X47">
        <f>HYPERLINK("https://klasma.github.io/Logging_0834/tillsyn/A 59361-2023 tillsynsbegäran.docx", "A 59361-2023")</f>
        <v/>
      </c>
      <c r="Y47">
        <f>HYPERLINK("https://klasma.github.io/Logging_0834/tillsynsmail/A 59361-2023 tillsynsbegäran mail.docx", "A 59361-2023")</f>
        <v/>
      </c>
    </row>
    <row r="48" ht="15" customHeight="1">
      <c r="A48" t="inlineStr">
        <is>
          <t>A 4727-2024</t>
        </is>
      </c>
      <c r="B48" s="1" t="n">
        <v>45328</v>
      </c>
      <c r="C48" s="1" t="n">
        <v>45692</v>
      </c>
      <c r="D48" t="inlineStr">
        <is>
          <t>KALMAR LÄN</t>
        </is>
      </c>
      <c r="E48" t="inlineStr">
        <is>
          <t>TORSÅS</t>
        </is>
      </c>
      <c r="G48" t="n">
        <v>8.9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Mattlummer</t>
        </is>
      </c>
      <c r="S48">
        <f>HYPERLINK("https://klasma.github.io/Logging_0834/artfynd/A 4727-2024 artfynd.xlsx", "A 4727-2024")</f>
        <v/>
      </c>
      <c r="T48">
        <f>HYPERLINK("https://klasma.github.io/Logging_0834/kartor/A 4727-2024 karta.png", "A 4727-2024")</f>
        <v/>
      </c>
      <c r="V48">
        <f>HYPERLINK("https://klasma.github.io/Logging_0834/klagomål/A 4727-2024 FSC-klagomål.docx", "A 4727-2024")</f>
        <v/>
      </c>
      <c r="W48">
        <f>HYPERLINK("https://klasma.github.io/Logging_0834/klagomålsmail/A 4727-2024 FSC-klagomål mail.docx", "A 4727-2024")</f>
        <v/>
      </c>
      <c r="X48">
        <f>HYPERLINK("https://klasma.github.io/Logging_0834/tillsyn/A 4727-2024 tillsynsbegäran.docx", "A 4727-2024")</f>
        <v/>
      </c>
      <c r="Y48">
        <f>HYPERLINK("https://klasma.github.io/Logging_0834/tillsynsmail/A 4727-2024 tillsynsbegäran mail.docx", "A 4727-2024")</f>
        <v/>
      </c>
    </row>
    <row r="49" ht="15" customHeight="1">
      <c r="A49" t="inlineStr">
        <is>
          <t>A 8311-2024</t>
        </is>
      </c>
      <c r="B49" s="1" t="n">
        <v>45350</v>
      </c>
      <c r="C49" s="1" t="n">
        <v>45692</v>
      </c>
      <c r="D49" t="inlineStr">
        <is>
          <t>KALMAR LÄN</t>
        </is>
      </c>
      <c r="E49" t="inlineStr">
        <is>
          <t>TORSÅS</t>
        </is>
      </c>
      <c r="G49" t="n">
        <v>3.8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Underviol</t>
        </is>
      </c>
      <c r="S49">
        <f>HYPERLINK("https://klasma.github.io/Logging_0834/artfynd/A 8311-2024 artfynd.xlsx", "A 8311-2024")</f>
        <v/>
      </c>
      <c r="T49">
        <f>HYPERLINK("https://klasma.github.io/Logging_0834/kartor/A 8311-2024 karta.png", "A 8311-2024")</f>
        <v/>
      </c>
      <c r="V49">
        <f>HYPERLINK("https://klasma.github.io/Logging_0834/klagomål/A 8311-2024 FSC-klagomål.docx", "A 8311-2024")</f>
        <v/>
      </c>
      <c r="W49">
        <f>HYPERLINK("https://klasma.github.io/Logging_0834/klagomålsmail/A 8311-2024 FSC-klagomål mail.docx", "A 8311-2024")</f>
        <v/>
      </c>
      <c r="X49">
        <f>HYPERLINK("https://klasma.github.io/Logging_0834/tillsyn/A 8311-2024 tillsynsbegäran.docx", "A 8311-2024")</f>
        <v/>
      </c>
      <c r="Y49">
        <f>HYPERLINK("https://klasma.github.io/Logging_0834/tillsynsmail/A 8311-2024 tillsynsbegäran mail.docx", "A 8311-2024")</f>
        <v/>
      </c>
    </row>
    <row r="50" ht="15" customHeight="1">
      <c r="A50" t="inlineStr">
        <is>
          <t>A 12000-2024</t>
        </is>
      </c>
      <c r="B50" s="1" t="n">
        <v>45377</v>
      </c>
      <c r="C50" s="1" t="n">
        <v>45692</v>
      </c>
      <c r="D50" t="inlineStr">
        <is>
          <t>KALMAR LÄN</t>
        </is>
      </c>
      <c r="E50" t="inlineStr">
        <is>
          <t>TORSÅS</t>
        </is>
      </c>
      <c r="G50" t="n">
        <v>0.9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Västlig hakmossa</t>
        </is>
      </c>
      <c r="S50">
        <f>HYPERLINK("https://klasma.github.io/Logging_0834/artfynd/A 12000-2024 artfynd.xlsx", "A 12000-2024")</f>
        <v/>
      </c>
      <c r="T50">
        <f>HYPERLINK("https://klasma.github.io/Logging_0834/kartor/A 12000-2024 karta.png", "A 12000-2024")</f>
        <v/>
      </c>
      <c r="V50">
        <f>HYPERLINK("https://klasma.github.io/Logging_0834/klagomål/A 12000-2024 FSC-klagomål.docx", "A 12000-2024")</f>
        <v/>
      </c>
      <c r="W50">
        <f>HYPERLINK("https://klasma.github.io/Logging_0834/klagomålsmail/A 12000-2024 FSC-klagomål mail.docx", "A 12000-2024")</f>
        <v/>
      </c>
      <c r="X50">
        <f>HYPERLINK("https://klasma.github.io/Logging_0834/tillsyn/A 12000-2024 tillsynsbegäran.docx", "A 12000-2024")</f>
        <v/>
      </c>
      <c r="Y50">
        <f>HYPERLINK("https://klasma.github.io/Logging_0834/tillsynsmail/A 12000-2024 tillsynsbegäran mail.docx", "A 12000-2024")</f>
        <v/>
      </c>
    </row>
    <row r="51" ht="15" customHeight="1">
      <c r="A51" t="inlineStr">
        <is>
          <t>A 12015-2024</t>
        </is>
      </c>
      <c r="B51" s="1" t="n">
        <v>45377</v>
      </c>
      <c r="C51" s="1" t="n">
        <v>45692</v>
      </c>
      <c r="D51" t="inlineStr">
        <is>
          <t>KALMAR LÄN</t>
        </is>
      </c>
      <c r="E51" t="inlineStr">
        <is>
          <t>TORSÅS</t>
        </is>
      </c>
      <c r="G51" t="n">
        <v>0.9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Gröngöling</t>
        </is>
      </c>
      <c r="S51">
        <f>HYPERLINK("https://klasma.github.io/Logging_0834/artfynd/A 12015-2024 artfynd.xlsx", "A 12015-2024")</f>
        <v/>
      </c>
      <c r="T51">
        <f>HYPERLINK("https://klasma.github.io/Logging_0834/kartor/A 12015-2024 karta.png", "A 12015-2024")</f>
        <v/>
      </c>
      <c r="V51">
        <f>HYPERLINK("https://klasma.github.io/Logging_0834/klagomål/A 12015-2024 FSC-klagomål.docx", "A 12015-2024")</f>
        <v/>
      </c>
      <c r="W51">
        <f>HYPERLINK("https://klasma.github.io/Logging_0834/klagomålsmail/A 12015-2024 FSC-klagomål mail.docx", "A 12015-2024")</f>
        <v/>
      </c>
      <c r="X51">
        <f>HYPERLINK("https://klasma.github.io/Logging_0834/tillsyn/A 12015-2024 tillsynsbegäran.docx", "A 12015-2024")</f>
        <v/>
      </c>
      <c r="Y51">
        <f>HYPERLINK("https://klasma.github.io/Logging_0834/tillsynsmail/A 12015-2024 tillsynsbegäran mail.docx", "A 12015-2024")</f>
        <v/>
      </c>
      <c r="Z51">
        <f>HYPERLINK("https://klasma.github.io/Logging_0834/fåglar/A 12015-2024 prioriterade fågelarter.docx", "A 12015-2024")</f>
        <v/>
      </c>
    </row>
    <row r="52" ht="15" customHeight="1">
      <c r="A52" t="inlineStr">
        <is>
          <t>A 44236-2024</t>
        </is>
      </c>
      <c r="B52" s="1" t="n">
        <v>45573</v>
      </c>
      <c r="C52" s="1" t="n">
        <v>45692</v>
      </c>
      <c r="D52" t="inlineStr">
        <is>
          <t>KALMAR LÄN</t>
        </is>
      </c>
      <c r="E52" t="inlineStr">
        <is>
          <t>TORSÅS</t>
        </is>
      </c>
      <c r="G52" t="n">
        <v>3.5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Druvfingersvamp</t>
        </is>
      </c>
      <c r="S52">
        <f>HYPERLINK("https://klasma.github.io/Logging_0834/artfynd/A 44236-2024 artfynd.xlsx", "A 44236-2024")</f>
        <v/>
      </c>
      <c r="T52">
        <f>HYPERLINK("https://klasma.github.io/Logging_0834/kartor/A 44236-2024 karta.png", "A 44236-2024")</f>
        <v/>
      </c>
      <c r="V52">
        <f>HYPERLINK("https://klasma.github.io/Logging_0834/klagomål/A 44236-2024 FSC-klagomål.docx", "A 44236-2024")</f>
        <v/>
      </c>
      <c r="W52">
        <f>HYPERLINK("https://klasma.github.io/Logging_0834/klagomålsmail/A 44236-2024 FSC-klagomål mail.docx", "A 44236-2024")</f>
        <v/>
      </c>
      <c r="X52">
        <f>HYPERLINK("https://klasma.github.io/Logging_0834/tillsyn/A 44236-2024 tillsynsbegäran.docx", "A 44236-2024")</f>
        <v/>
      </c>
      <c r="Y52">
        <f>HYPERLINK("https://klasma.github.io/Logging_0834/tillsynsmail/A 44236-2024 tillsynsbegäran mail.docx", "A 44236-2024")</f>
        <v/>
      </c>
    </row>
    <row r="53" ht="15" customHeight="1">
      <c r="A53" t="inlineStr">
        <is>
          <t>A 18859-2019</t>
        </is>
      </c>
      <c r="B53" s="1" t="n">
        <v>43563</v>
      </c>
      <c r="C53" s="1" t="n">
        <v>45692</v>
      </c>
      <c r="D53" t="inlineStr">
        <is>
          <t>KALMAR LÄN</t>
        </is>
      </c>
      <c r="E53" t="inlineStr">
        <is>
          <t>TORSÅS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18848-2019</t>
        </is>
      </c>
      <c r="B54" s="1" t="n">
        <v>43563</v>
      </c>
      <c r="C54" s="1" t="n">
        <v>45692</v>
      </c>
      <c r="D54" t="inlineStr">
        <is>
          <t>KALMAR LÄN</t>
        </is>
      </c>
      <c r="E54" t="inlineStr">
        <is>
          <t>TORSÅS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19387-2019</t>
        </is>
      </c>
      <c r="B55" s="1" t="n">
        <v>43565</v>
      </c>
      <c r="C55" s="1" t="n">
        <v>45692</v>
      </c>
      <c r="D55" t="inlineStr">
        <is>
          <t>KALMAR LÄN</t>
        </is>
      </c>
      <c r="E55" t="inlineStr">
        <is>
          <t>TORSÅS</t>
        </is>
      </c>
      <c r="G55" t="n">
        <v>7.9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19693-2019</t>
        </is>
      </c>
      <c r="B56" s="1" t="n">
        <v>43566</v>
      </c>
      <c r="C56" s="1" t="n">
        <v>45692</v>
      </c>
      <c r="D56" t="inlineStr">
        <is>
          <t>KALMAR LÄN</t>
        </is>
      </c>
      <c r="E56" t="inlineStr">
        <is>
          <t>TORSÅS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20426-2019</t>
        </is>
      </c>
      <c r="B57" s="1" t="n">
        <v>43571</v>
      </c>
      <c r="C57" s="1" t="n">
        <v>45692</v>
      </c>
      <c r="D57" t="inlineStr">
        <is>
          <t>KALMAR LÄN</t>
        </is>
      </c>
      <c r="E57" t="inlineStr">
        <is>
          <t>TORSÅS</t>
        </is>
      </c>
      <c r="G57" t="n">
        <v>4.1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21142-2019</t>
        </is>
      </c>
      <c r="B58" s="1" t="n">
        <v>43577</v>
      </c>
      <c r="C58" s="1" t="n">
        <v>45692</v>
      </c>
      <c r="D58" t="inlineStr">
        <is>
          <t>KALMAR LÄN</t>
        </is>
      </c>
      <c r="E58" t="inlineStr">
        <is>
          <t>TORSÅS</t>
        </is>
      </c>
      <c r="G58" t="n">
        <v>6.9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21137-2019</t>
        </is>
      </c>
      <c r="B59" s="1" t="n">
        <v>43577</v>
      </c>
      <c r="C59" s="1" t="n">
        <v>45692</v>
      </c>
      <c r="D59" t="inlineStr">
        <is>
          <t>KALMAR LÄN</t>
        </is>
      </c>
      <c r="E59" t="inlineStr">
        <is>
          <t>TORSÅS</t>
        </is>
      </c>
      <c r="G59" t="n">
        <v>4.9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21240-2019</t>
        </is>
      </c>
      <c r="B60" s="1" t="n">
        <v>43578</v>
      </c>
      <c r="C60" s="1" t="n">
        <v>45692</v>
      </c>
      <c r="D60" t="inlineStr">
        <is>
          <t>KALMAR LÄN</t>
        </is>
      </c>
      <c r="E60" t="inlineStr">
        <is>
          <t>TORSÅS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21203-2019</t>
        </is>
      </c>
      <c r="B61" s="1" t="n">
        <v>43579</v>
      </c>
      <c r="C61" s="1" t="n">
        <v>45692</v>
      </c>
      <c r="D61" t="inlineStr">
        <is>
          <t>KALMAR LÄN</t>
        </is>
      </c>
      <c r="E61" t="inlineStr">
        <is>
          <t>TORSÅS</t>
        </is>
      </c>
      <c r="G61" t="n">
        <v>6.3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21138-2019</t>
        </is>
      </c>
      <c r="B62" s="1" t="n">
        <v>43579</v>
      </c>
      <c r="C62" s="1" t="n">
        <v>45692</v>
      </c>
      <c r="D62" t="inlineStr">
        <is>
          <t>KALMAR LÄN</t>
        </is>
      </c>
      <c r="E62" t="inlineStr">
        <is>
          <t>TORSÅS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21202-2019</t>
        </is>
      </c>
      <c r="B63" s="1" t="n">
        <v>43579</v>
      </c>
      <c r="C63" s="1" t="n">
        <v>45692</v>
      </c>
      <c r="D63" t="inlineStr">
        <is>
          <t>KALMAR LÄN</t>
        </is>
      </c>
      <c r="E63" t="inlineStr">
        <is>
          <t>TORSÅS</t>
        </is>
      </c>
      <c r="G63" t="n">
        <v>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24120-2019</t>
        </is>
      </c>
      <c r="B64" s="1" t="n">
        <v>43598</v>
      </c>
      <c r="C64" s="1" t="n">
        <v>45692</v>
      </c>
      <c r="D64" t="inlineStr">
        <is>
          <t>KALMAR LÄN</t>
        </is>
      </c>
      <c r="E64" t="inlineStr">
        <is>
          <t>TORSÅS</t>
        </is>
      </c>
      <c r="G64" t="n">
        <v>2.4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24100-2019</t>
        </is>
      </c>
      <c r="B65" s="1" t="n">
        <v>43598</v>
      </c>
      <c r="C65" s="1" t="n">
        <v>45692</v>
      </c>
      <c r="D65" t="inlineStr">
        <is>
          <t>KALMAR LÄN</t>
        </is>
      </c>
      <c r="E65" t="inlineStr">
        <is>
          <t>TORSÅS</t>
        </is>
      </c>
      <c r="G65" t="n">
        <v>1.8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24496-2019</t>
        </is>
      </c>
      <c r="B66" s="1" t="n">
        <v>43600</v>
      </c>
      <c r="C66" s="1" t="n">
        <v>45692</v>
      </c>
      <c r="D66" t="inlineStr">
        <is>
          <t>KALMAR LÄN</t>
        </is>
      </c>
      <c r="E66" t="inlineStr">
        <is>
          <t>TORSÅS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26422-2019</t>
        </is>
      </c>
      <c r="B67" s="1" t="n">
        <v>43612</v>
      </c>
      <c r="C67" s="1" t="n">
        <v>45692</v>
      </c>
      <c r="D67" t="inlineStr">
        <is>
          <t>KALMAR LÄN</t>
        </is>
      </c>
      <c r="E67" t="inlineStr">
        <is>
          <t>TORSÅS</t>
        </is>
      </c>
      <c r="G67" t="n">
        <v>15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26609-2019</t>
        </is>
      </c>
      <c r="B68" s="1" t="n">
        <v>43612</v>
      </c>
      <c r="C68" s="1" t="n">
        <v>45692</v>
      </c>
      <c r="D68" t="inlineStr">
        <is>
          <t>KALMAR LÄN</t>
        </is>
      </c>
      <c r="E68" t="inlineStr">
        <is>
          <t>TORSÅS</t>
        </is>
      </c>
      <c r="G68" t="n">
        <v>3.7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26546-2019</t>
        </is>
      </c>
      <c r="B69" s="1" t="n">
        <v>43612</v>
      </c>
      <c r="C69" s="1" t="n">
        <v>45692</v>
      </c>
      <c r="D69" t="inlineStr">
        <is>
          <t>KALMAR LÄN</t>
        </is>
      </c>
      <c r="E69" t="inlineStr">
        <is>
          <t>TORSÅS</t>
        </is>
      </c>
      <c r="G69" t="n">
        <v>2.5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26669-2019</t>
        </is>
      </c>
      <c r="B70" s="1" t="n">
        <v>43613</v>
      </c>
      <c r="C70" s="1" t="n">
        <v>45692</v>
      </c>
      <c r="D70" t="inlineStr">
        <is>
          <t>KALMAR LÄN</t>
        </is>
      </c>
      <c r="E70" t="inlineStr">
        <is>
          <t>TORSÅS</t>
        </is>
      </c>
      <c r="G70" t="n">
        <v>11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26765-2019</t>
        </is>
      </c>
      <c r="B71" s="1" t="n">
        <v>43613</v>
      </c>
      <c r="C71" s="1" t="n">
        <v>45692</v>
      </c>
      <c r="D71" t="inlineStr">
        <is>
          <t>KALMAR LÄN</t>
        </is>
      </c>
      <c r="E71" t="inlineStr">
        <is>
          <t>TORSÅS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26762-2019</t>
        </is>
      </c>
      <c r="B72" s="1" t="n">
        <v>43613</v>
      </c>
      <c r="C72" s="1" t="n">
        <v>45692</v>
      </c>
      <c r="D72" t="inlineStr">
        <is>
          <t>KALMAR LÄN</t>
        </is>
      </c>
      <c r="E72" t="inlineStr">
        <is>
          <t>TORSÅS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27047-2019</t>
        </is>
      </c>
      <c r="B73" s="1" t="n">
        <v>43614</v>
      </c>
      <c r="C73" s="1" t="n">
        <v>45692</v>
      </c>
      <c r="D73" t="inlineStr">
        <is>
          <t>KALMAR LÄN</t>
        </is>
      </c>
      <c r="E73" t="inlineStr">
        <is>
          <t>TORSÅS</t>
        </is>
      </c>
      <c r="G73" t="n">
        <v>2.7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27057-2019</t>
        </is>
      </c>
      <c r="B74" s="1" t="n">
        <v>43614</v>
      </c>
      <c r="C74" s="1" t="n">
        <v>45692</v>
      </c>
      <c r="D74" t="inlineStr">
        <is>
          <t>KALMAR LÄN</t>
        </is>
      </c>
      <c r="E74" t="inlineStr">
        <is>
          <t>TORSÅS</t>
        </is>
      </c>
      <c r="G74" t="n">
        <v>21.6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27394-2019</t>
        </is>
      </c>
      <c r="B75" s="1" t="n">
        <v>43616</v>
      </c>
      <c r="C75" s="1" t="n">
        <v>45692</v>
      </c>
      <c r="D75" t="inlineStr">
        <is>
          <t>KALMAR LÄN</t>
        </is>
      </c>
      <c r="E75" t="inlineStr">
        <is>
          <t>TORSÅS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28593-2019</t>
        </is>
      </c>
      <c r="B76" s="1" t="n">
        <v>43626</v>
      </c>
      <c r="C76" s="1" t="n">
        <v>45692</v>
      </c>
      <c r="D76" t="inlineStr">
        <is>
          <t>KALMAR LÄN</t>
        </is>
      </c>
      <c r="E76" t="inlineStr">
        <is>
          <t>TORSÅS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28745-2019</t>
        </is>
      </c>
      <c r="B77" s="1" t="n">
        <v>43627</v>
      </c>
      <c r="C77" s="1" t="n">
        <v>45692</v>
      </c>
      <c r="D77" t="inlineStr">
        <is>
          <t>KALMAR LÄN</t>
        </is>
      </c>
      <c r="E77" t="inlineStr">
        <is>
          <t>TORSÅS</t>
        </is>
      </c>
      <c r="G77" t="n">
        <v>4.6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28764-2019</t>
        </is>
      </c>
      <c r="B78" s="1" t="n">
        <v>43627</v>
      </c>
      <c r="C78" s="1" t="n">
        <v>45692</v>
      </c>
      <c r="D78" t="inlineStr">
        <is>
          <t>KALMAR LÄN</t>
        </is>
      </c>
      <c r="E78" t="inlineStr">
        <is>
          <t>TORSÅS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29262-2019</t>
        </is>
      </c>
      <c r="B79" s="1" t="n">
        <v>43629</v>
      </c>
      <c r="C79" s="1" t="n">
        <v>45692</v>
      </c>
      <c r="D79" t="inlineStr">
        <is>
          <t>KALMAR LÄN</t>
        </is>
      </c>
      <c r="E79" t="inlineStr">
        <is>
          <t>TORSÅS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29380-2019</t>
        </is>
      </c>
      <c r="B80" s="1" t="n">
        <v>43629</v>
      </c>
      <c r="C80" s="1" t="n">
        <v>45692</v>
      </c>
      <c r="D80" t="inlineStr">
        <is>
          <t>KALMAR LÄN</t>
        </is>
      </c>
      <c r="E80" t="inlineStr">
        <is>
          <t>TORSÅS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29349-2019</t>
        </is>
      </c>
      <c r="B81" s="1" t="n">
        <v>43629</v>
      </c>
      <c r="C81" s="1" t="n">
        <v>45692</v>
      </c>
      <c r="D81" t="inlineStr">
        <is>
          <t>KALMAR LÄN</t>
        </is>
      </c>
      <c r="E81" t="inlineStr">
        <is>
          <t>TORSÅS</t>
        </is>
      </c>
      <c r="G81" t="n">
        <v>6.3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29296-2019</t>
        </is>
      </c>
      <c r="B82" s="1" t="n">
        <v>43629</v>
      </c>
      <c r="C82" s="1" t="n">
        <v>45692</v>
      </c>
      <c r="D82" t="inlineStr">
        <is>
          <t>KALMAR LÄN</t>
        </is>
      </c>
      <c r="E82" t="inlineStr">
        <is>
          <t>TORSÅS</t>
        </is>
      </c>
      <c r="G82" t="n">
        <v>4.4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29499-2019</t>
        </is>
      </c>
      <c r="B83" s="1" t="n">
        <v>43630</v>
      </c>
      <c r="C83" s="1" t="n">
        <v>45692</v>
      </c>
      <c r="D83" t="inlineStr">
        <is>
          <t>KALMAR LÄN</t>
        </is>
      </c>
      <c r="E83" t="inlineStr">
        <is>
          <t>TORSÅS</t>
        </is>
      </c>
      <c r="G83" t="n">
        <v>10.7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29627-2019</t>
        </is>
      </c>
      <c r="B84" s="1" t="n">
        <v>43630</v>
      </c>
      <c r="C84" s="1" t="n">
        <v>45692</v>
      </c>
      <c r="D84" t="inlineStr">
        <is>
          <t>KALMAR LÄN</t>
        </is>
      </c>
      <c r="E84" t="inlineStr">
        <is>
          <t>TORSÅS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31274-2019</t>
        </is>
      </c>
      <c r="B85" s="1" t="n">
        <v>43640</v>
      </c>
      <c r="C85" s="1" t="n">
        <v>45692</v>
      </c>
      <c r="D85" t="inlineStr">
        <is>
          <t>KALMAR LÄN</t>
        </is>
      </c>
      <c r="E85" t="inlineStr">
        <is>
          <t>TORSÅS</t>
        </is>
      </c>
      <c r="G85" t="n">
        <v>3.5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31272-2019</t>
        </is>
      </c>
      <c r="B86" s="1" t="n">
        <v>43640</v>
      </c>
      <c r="C86" s="1" t="n">
        <v>45692</v>
      </c>
      <c r="D86" t="inlineStr">
        <is>
          <t>KALMAR LÄN</t>
        </is>
      </c>
      <c r="E86" t="inlineStr">
        <is>
          <t>TORSÅS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31735-2019</t>
        </is>
      </c>
      <c r="B87" s="1" t="n">
        <v>43642</v>
      </c>
      <c r="C87" s="1" t="n">
        <v>45692</v>
      </c>
      <c r="D87" t="inlineStr">
        <is>
          <t>KALMAR LÄN</t>
        </is>
      </c>
      <c r="E87" t="inlineStr">
        <is>
          <t>TORSÅS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32086-2019</t>
        </is>
      </c>
      <c r="B88" s="1" t="n">
        <v>43643</v>
      </c>
      <c r="C88" s="1" t="n">
        <v>45692</v>
      </c>
      <c r="D88" t="inlineStr">
        <is>
          <t>KALMAR LÄN</t>
        </is>
      </c>
      <c r="E88" t="inlineStr">
        <is>
          <t>TORSÅS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31935-2019</t>
        </is>
      </c>
      <c r="B89" s="1" t="n">
        <v>43643</v>
      </c>
      <c r="C89" s="1" t="n">
        <v>45692</v>
      </c>
      <c r="D89" t="inlineStr">
        <is>
          <t>KALMAR LÄN</t>
        </is>
      </c>
      <c r="E89" t="inlineStr">
        <is>
          <t>TORSÅS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32509-2019</t>
        </is>
      </c>
      <c r="B90" s="1" t="n">
        <v>43645</v>
      </c>
      <c r="C90" s="1" t="n">
        <v>45692</v>
      </c>
      <c r="D90" t="inlineStr">
        <is>
          <t>KALMAR LÄN</t>
        </is>
      </c>
      <c r="E90" t="inlineStr">
        <is>
          <t>TORSÅS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32836-2019</t>
        </is>
      </c>
      <c r="B91" s="1" t="n">
        <v>43648</v>
      </c>
      <c r="C91" s="1" t="n">
        <v>45692</v>
      </c>
      <c r="D91" t="inlineStr">
        <is>
          <t>KALMAR LÄN</t>
        </is>
      </c>
      <c r="E91" t="inlineStr">
        <is>
          <t>TORSÅS</t>
        </is>
      </c>
      <c r="G91" t="n">
        <v>8.6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32837-2019</t>
        </is>
      </c>
      <c r="B92" s="1" t="n">
        <v>43648</v>
      </c>
      <c r="C92" s="1" t="n">
        <v>45692</v>
      </c>
      <c r="D92" t="inlineStr">
        <is>
          <t>KALMAR LÄN</t>
        </is>
      </c>
      <c r="E92" t="inlineStr">
        <is>
          <t>TORSÅS</t>
        </is>
      </c>
      <c r="G92" t="n">
        <v>11.9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32958-2019</t>
        </is>
      </c>
      <c r="B93" s="1" t="n">
        <v>43648</v>
      </c>
      <c r="C93" s="1" t="n">
        <v>45692</v>
      </c>
      <c r="D93" t="inlineStr">
        <is>
          <t>KALMAR LÄN</t>
        </is>
      </c>
      <c r="E93" t="inlineStr">
        <is>
          <t>TORSÅS</t>
        </is>
      </c>
      <c r="G93" t="n">
        <v>35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32840-2019</t>
        </is>
      </c>
      <c r="B94" s="1" t="n">
        <v>43648</v>
      </c>
      <c r="C94" s="1" t="n">
        <v>45692</v>
      </c>
      <c r="D94" t="inlineStr">
        <is>
          <t>KALMAR LÄN</t>
        </is>
      </c>
      <c r="E94" t="inlineStr">
        <is>
          <t>TORSÅS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33457-2019</t>
        </is>
      </c>
      <c r="B95" s="1" t="n">
        <v>43650</v>
      </c>
      <c r="C95" s="1" t="n">
        <v>45692</v>
      </c>
      <c r="D95" t="inlineStr">
        <is>
          <t>KALMAR LÄN</t>
        </is>
      </c>
      <c r="E95" t="inlineStr">
        <is>
          <t>TORSÅS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35253-2019</t>
        </is>
      </c>
      <c r="B96" s="1" t="n">
        <v>43651</v>
      </c>
      <c r="C96" s="1" t="n">
        <v>45692</v>
      </c>
      <c r="D96" t="inlineStr">
        <is>
          <t>KALMAR LÄN</t>
        </is>
      </c>
      <c r="E96" t="inlineStr">
        <is>
          <t>TORSÅS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35705-2019</t>
        </is>
      </c>
      <c r="B97" s="1" t="n">
        <v>43664</v>
      </c>
      <c r="C97" s="1" t="n">
        <v>45692</v>
      </c>
      <c r="D97" t="inlineStr">
        <is>
          <t>KALMAR LÄN</t>
        </is>
      </c>
      <c r="E97" t="inlineStr">
        <is>
          <t>TORSÅS</t>
        </is>
      </c>
      <c r="G97" t="n">
        <v>3.4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36326-2019</t>
        </is>
      </c>
      <c r="B98" s="1" t="n">
        <v>43670</v>
      </c>
      <c r="C98" s="1" t="n">
        <v>45692</v>
      </c>
      <c r="D98" t="inlineStr">
        <is>
          <t>KALMAR LÄN</t>
        </is>
      </c>
      <c r="E98" t="inlineStr">
        <is>
          <t>TORSÅS</t>
        </is>
      </c>
      <c r="G98" t="n">
        <v>2.5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36329-2019</t>
        </is>
      </c>
      <c r="B99" s="1" t="n">
        <v>43670</v>
      </c>
      <c r="C99" s="1" t="n">
        <v>45692</v>
      </c>
      <c r="D99" t="inlineStr">
        <is>
          <t>KALMAR LÄN</t>
        </is>
      </c>
      <c r="E99" t="inlineStr">
        <is>
          <t>TORSÅS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36327-2019</t>
        </is>
      </c>
      <c r="B100" s="1" t="n">
        <v>43670</v>
      </c>
      <c r="C100" s="1" t="n">
        <v>45692</v>
      </c>
      <c r="D100" t="inlineStr">
        <is>
          <t>KALMAR LÄN</t>
        </is>
      </c>
      <c r="E100" t="inlineStr">
        <is>
          <t>TORSÅS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36751-2019</t>
        </is>
      </c>
      <c r="B101" s="1" t="n">
        <v>43672</v>
      </c>
      <c r="C101" s="1" t="n">
        <v>45692</v>
      </c>
      <c r="D101" t="inlineStr">
        <is>
          <t>KALMAR LÄN</t>
        </is>
      </c>
      <c r="E101" t="inlineStr">
        <is>
          <t>TORSÅS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36828-2019</t>
        </is>
      </c>
      <c r="B102" s="1" t="n">
        <v>43674</v>
      </c>
      <c r="C102" s="1" t="n">
        <v>45692</v>
      </c>
      <c r="D102" t="inlineStr">
        <is>
          <t>KALMAR LÄN</t>
        </is>
      </c>
      <c r="E102" t="inlineStr">
        <is>
          <t>TORSÅS</t>
        </is>
      </c>
      <c r="G102" t="n">
        <v>23.3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36942-2019</t>
        </is>
      </c>
      <c r="B103" s="1" t="n">
        <v>43675</v>
      </c>
      <c r="C103" s="1" t="n">
        <v>45692</v>
      </c>
      <c r="D103" t="inlineStr">
        <is>
          <t>KALMAR LÄN</t>
        </is>
      </c>
      <c r="E103" t="inlineStr">
        <is>
          <t>TORSÅS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36941-2019</t>
        </is>
      </c>
      <c r="B104" s="1" t="n">
        <v>43675</v>
      </c>
      <c r="C104" s="1" t="n">
        <v>45692</v>
      </c>
      <c r="D104" t="inlineStr">
        <is>
          <t>KALMAR LÄN</t>
        </is>
      </c>
      <c r="E104" t="inlineStr">
        <is>
          <t>TORSÅS</t>
        </is>
      </c>
      <c r="G104" t="n">
        <v>6.2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36945-2019</t>
        </is>
      </c>
      <c r="B105" s="1" t="n">
        <v>43675</v>
      </c>
      <c r="C105" s="1" t="n">
        <v>45692</v>
      </c>
      <c r="D105" t="inlineStr">
        <is>
          <t>KALMAR LÄN</t>
        </is>
      </c>
      <c r="E105" t="inlineStr">
        <is>
          <t>TORSÅS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36946-2019</t>
        </is>
      </c>
      <c r="B106" s="1" t="n">
        <v>43675</v>
      </c>
      <c r="C106" s="1" t="n">
        <v>45692</v>
      </c>
      <c r="D106" t="inlineStr">
        <is>
          <t>KALMAR LÄN</t>
        </is>
      </c>
      <c r="E106" t="inlineStr">
        <is>
          <t>TORSÅS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36943-2019</t>
        </is>
      </c>
      <c r="B107" s="1" t="n">
        <v>43675</v>
      </c>
      <c r="C107" s="1" t="n">
        <v>45692</v>
      </c>
      <c r="D107" t="inlineStr">
        <is>
          <t>KALMAR LÄN</t>
        </is>
      </c>
      <c r="E107" t="inlineStr">
        <is>
          <t>TORSÅS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36948-2019</t>
        </is>
      </c>
      <c r="B108" s="1" t="n">
        <v>43675</v>
      </c>
      <c r="C108" s="1" t="n">
        <v>45692</v>
      </c>
      <c r="D108" t="inlineStr">
        <is>
          <t>KALMAR LÄN</t>
        </is>
      </c>
      <c r="E108" t="inlineStr">
        <is>
          <t>TORSÅS</t>
        </is>
      </c>
      <c r="G108" t="n">
        <v>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37096-2019</t>
        </is>
      </c>
      <c r="B109" s="1" t="n">
        <v>43676</v>
      </c>
      <c r="C109" s="1" t="n">
        <v>45692</v>
      </c>
      <c r="D109" t="inlineStr">
        <is>
          <t>KALMAR LÄN</t>
        </is>
      </c>
      <c r="E109" t="inlineStr">
        <is>
          <t>TORSÅS</t>
        </is>
      </c>
      <c r="G109" t="n">
        <v>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37052-2019</t>
        </is>
      </c>
      <c r="B110" s="1" t="n">
        <v>43676</v>
      </c>
      <c r="C110" s="1" t="n">
        <v>45692</v>
      </c>
      <c r="D110" t="inlineStr">
        <is>
          <t>KALMAR LÄN</t>
        </is>
      </c>
      <c r="E110" t="inlineStr">
        <is>
          <t>TORSÅS</t>
        </is>
      </c>
      <c r="G110" t="n">
        <v>9.5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37097-2019</t>
        </is>
      </c>
      <c r="B111" s="1" t="n">
        <v>43676</v>
      </c>
      <c r="C111" s="1" t="n">
        <v>45692</v>
      </c>
      <c r="D111" t="inlineStr">
        <is>
          <t>KALMAR LÄN</t>
        </is>
      </c>
      <c r="E111" t="inlineStr">
        <is>
          <t>TORSÅS</t>
        </is>
      </c>
      <c r="G111" t="n">
        <v>2.3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37283-2019</t>
        </is>
      </c>
      <c r="B112" s="1" t="n">
        <v>43677</v>
      </c>
      <c r="C112" s="1" t="n">
        <v>45692</v>
      </c>
      <c r="D112" t="inlineStr">
        <is>
          <t>KALMAR LÄN</t>
        </is>
      </c>
      <c r="E112" t="inlineStr">
        <is>
          <t>TORSÅS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37281-2019</t>
        </is>
      </c>
      <c r="B113" s="1" t="n">
        <v>43677</v>
      </c>
      <c r="C113" s="1" t="n">
        <v>45692</v>
      </c>
      <c r="D113" t="inlineStr">
        <is>
          <t>KALMAR LÄN</t>
        </is>
      </c>
      <c r="E113" t="inlineStr">
        <is>
          <t>TORSÅS</t>
        </is>
      </c>
      <c r="G113" t="n">
        <v>9.5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37455-2019</t>
        </is>
      </c>
      <c r="B114" s="1" t="n">
        <v>43679</v>
      </c>
      <c r="C114" s="1" t="n">
        <v>45692</v>
      </c>
      <c r="D114" t="inlineStr">
        <is>
          <t>KALMAR LÄN</t>
        </is>
      </c>
      <c r="E114" t="inlineStr">
        <is>
          <t>TORSÅS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37608-2019</t>
        </is>
      </c>
      <c r="B115" s="1" t="n">
        <v>43680</v>
      </c>
      <c r="C115" s="1" t="n">
        <v>45692</v>
      </c>
      <c r="D115" t="inlineStr">
        <is>
          <t>KALMAR LÄN</t>
        </is>
      </c>
      <c r="E115" t="inlineStr">
        <is>
          <t>TORSÅS</t>
        </is>
      </c>
      <c r="G115" t="n">
        <v>2.8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37768-2019</t>
        </is>
      </c>
      <c r="B116" s="1" t="n">
        <v>43682</v>
      </c>
      <c r="C116" s="1" t="n">
        <v>45692</v>
      </c>
      <c r="D116" t="inlineStr">
        <is>
          <t>KALMAR LÄN</t>
        </is>
      </c>
      <c r="E116" t="inlineStr">
        <is>
          <t>TORSÅS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37683-2019</t>
        </is>
      </c>
      <c r="B117" s="1" t="n">
        <v>43682</v>
      </c>
      <c r="C117" s="1" t="n">
        <v>45692</v>
      </c>
      <c r="D117" t="inlineStr">
        <is>
          <t>KALMAR LÄN</t>
        </is>
      </c>
      <c r="E117" t="inlineStr">
        <is>
          <t>TORSÅS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37817-2019</t>
        </is>
      </c>
      <c r="B118" s="1" t="n">
        <v>43682</v>
      </c>
      <c r="C118" s="1" t="n">
        <v>45692</v>
      </c>
      <c r="D118" t="inlineStr">
        <is>
          <t>KALMAR LÄN</t>
        </is>
      </c>
      <c r="E118" t="inlineStr">
        <is>
          <t>TORSÅS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38111-2019</t>
        </is>
      </c>
      <c r="B119" s="1" t="n">
        <v>43683</v>
      </c>
      <c r="C119" s="1" t="n">
        <v>45692</v>
      </c>
      <c r="D119" t="inlineStr">
        <is>
          <t>KALMAR LÄN</t>
        </is>
      </c>
      <c r="E119" t="inlineStr">
        <is>
          <t>TORSÅS</t>
        </is>
      </c>
      <c r="G119" t="n">
        <v>2.2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38106-2019</t>
        </is>
      </c>
      <c r="B120" s="1" t="n">
        <v>43683</v>
      </c>
      <c r="C120" s="1" t="n">
        <v>45692</v>
      </c>
      <c r="D120" t="inlineStr">
        <is>
          <t>KALMAR LÄN</t>
        </is>
      </c>
      <c r="E120" t="inlineStr">
        <is>
          <t>TORSÅS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38099-2019</t>
        </is>
      </c>
      <c r="B121" s="1" t="n">
        <v>43683</v>
      </c>
      <c r="C121" s="1" t="n">
        <v>45692</v>
      </c>
      <c r="D121" t="inlineStr">
        <is>
          <t>KALMAR LÄN</t>
        </is>
      </c>
      <c r="E121" t="inlineStr">
        <is>
          <t>TORSÅS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38098-2019</t>
        </is>
      </c>
      <c r="B122" s="1" t="n">
        <v>43683</v>
      </c>
      <c r="C122" s="1" t="n">
        <v>45692</v>
      </c>
      <c r="D122" t="inlineStr">
        <is>
          <t>KALMAR LÄN</t>
        </is>
      </c>
      <c r="E122" t="inlineStr">
        <is>
          <t>TORSÅS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38306-2019</t>
        </is>
      </c>
      <c r="B123" s="1" t="n">
        <v>43684</v>
      </c>
      <c r="C123" s="1" t="n">
        <v>45692</v>
      </c>
      <c r="D123" t="inlineStr">
        <is>
          <t>KALMAR LÄN</t>
        </is>
      </c>
      <c r="E123" t="inlineStr">
        <is>
          <t>TORSÅS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38650-2019</t>
        </is>
      </c>
      <c r="B124" s="1" t="n">
        <v>43686</v>
      </c>
      <c r="C124" s="1" t="n">
        <v>45692</v>
      </c>
      <c r="D124" t="inlineStr">
        <is>
          <t>KALMAR LÄN</t>
        </is>
      </c>
      <c r="E124" t="inlineStr">
        <is>
          <t>TORSÅS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39102-2019</t>
        </is>
      </c>
      <c r="B125" s="1" t="n">
        <v>43689</v>
      </c>
      <c r="C125" s="1" t="n">
        <v>45692</v>
      </c>
      <c r="D125" t="inlineStr">
        <is>
          <t>KALMAR LÄN</t>
        </is>
      </c>
      <c r="E125" t="inlineStr">
        <is>
          <t>TORSÅS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38941-2019</t>
        </is>
      </c>
      <c r="B126" s="1" t="n">
        <v>43689</v>
      </c>
      <c r="C126" s="1" t="n">
        <v>45692</v>
      </c>
      <c r="D126" t="inlineStr">
        <is>
          <t>KALMAR LÄN</t>
        </is>
      </c>
      <c r="E126" t="inlineStr">
        <is>
          <t>TORSÅS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38939-2019</t>
        </is>
      </c>
      <c r="B127" s="1" t="n">
        <v>43689</v>
      </c>
      <c r="C127" s="1" t="n">
        <v>45692</v>
      </c>
      <c r="D127" t="inlineStr">
        <is>
          <t>KALMAR LÄN</t>
        </is>
      </c>
      <c r="E127" t="inlineStr">
        <is>
          <t>TORSÅS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39104-2019</t>
        </is>
      </c>
      <c r="B128" s="1" t="n">
        <v>43689</v>
      </c>
      <c r="C128" s="1" t="n">
        <v>45692</v>
      </c>
      <c r="D128" t="inlineStr">
        <is>
          <t>KALMAR LÄN</t>
        </is>
      </c>
      <c r="E128" t="inlineStr">
        <is>
          <t>TORSÅS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39096-2019</t>
        </is>
      </c>
      <c r="B129" s="1" t="n">
        <v>43689</v>
      </c>
      <c r="C129" s="1" t="n">
        <v>45692</v>
      </c>
      <c r="D129" t="inlineStr">
        <is>
          <t>KALMAR LÄN</t>
        </is>
      </c>
      <c r="E129" t="inlineStr">
        <is>
          <t>TORSÅS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39260-2019</t>
        </is>
      </c>
      <c r="B130" s="1" t="n">
        <v>43690</v>
      </c>
      <c r="C130" s="1" t="n">
        <v>45692</v>
      </c>
      <c r="D130" t="inlineStr">
        <is>
          <t>KALMAR LÄN</t>
        </is>
      </c>
      <c r="E130" t="inlineStr">
        <is>
          <t>TORSÅS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39415-2019</t>
        </is>
      </c>
      <c r="B131" s="1" t="n">
        <v>43691</v>
      </c>
      <c r="C131" s="1" t="n">
        <v>45692</v>
      </c>
      <c r="D131" t="inlineStr">
        <is>
          <t>KALMAR LÄN</t>
        </is>
      </c>
      <c r="E131" t="inlineStr">
        <is>
          <t>TORSÅS</t>
        </is>
      </c>
      <c r="G131" t="n">
        <v>4.5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39864-2019</t>
        </is>
      </c>
      <c r="B132" s="1" t="n">
        <v>43692</v>
      </c>
      <c r="C132" s="1" t="n">
        <v>45692</v>
      </c>
      <c r="D132" t="inlineStr">
        <is>
          <t>KALMAR LÄN</t>
        </is>
      </c>
      <c r="E132" t="inlineStr">
        <is>
          <t>TORSÅS</t>
        </is>
      </c>
      <c r="F132" t="inlineStr">
        <is>
          <t>Övriga Aktiebolag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39865-2019</t>
        </is>
      </c>
      <c r="B133" s="1" t="n">
        <v>43692</v>
      </c>
      <c r="C133" s="1" t="n">
        <v>45692</v>
      </c>
      <c r="D133" t="inlineStr">
        <is>
          <t>KALMAR LÄN</t>
        </is>
      </c>
      <c r="E133" t="inlineStr">
        <is>
          <t>TORSÅS</t>
        </is>
      </c>
      <c r="F133" t="inlineStr">
        <is>
          <t>Övriga Aktiebolag</t>
        </is>
      </c>
      <c r="G133" t="n">
        <v>3.1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39994-2019</t>
        </is>
      </c>
      <c r="B134" s="1" t="n">
        <v>43692</v>
      </c>
      <c r="C134" s="1" t="n">
        <v>45692</v>
      </c>
      <c r="D134" t="inlineStr">
        <is>
          <t>KALMAR LÄN</t>
        </is>
      </c>
      <c r="E134" t="inlineStr">
        <is>
          <t>TORSÅS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39870-2019</t>
        </is>
      </c>
      <c r="B135" s="1" t="n">
        <v>43692</v>
      </c>
      <c r="C135" s="1" t="n">
        <v>45692</v>
      </c>
      <c r="D135" t="inlineStr">
        <is>
          <t>KALMAR LÄN</t>
        </is>
      </c>
      <c r="E135" t="inlineStr">
        <is>
          <t>TORSÅS</t>
        </is>
      </c>
      <c r="F135" t="inlineStr">
        <is>
          <t>Övriga Aktiebolag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39992-2019</t>
        </is>
      </c>
      <c r="B136" s="1" t="n">
        <v>43692</v>
      </c>
      <c r="C136" s="1" t="n">
        <v>45692</v>
      </c>
      <c r="D136" t="inlineStr">
        <is>
          <t>KALMAR LÄN</t>
        </is>
      </c>
      <c r="E136" t="inlineStr">
        <is>
          <t>TORSÅS</t>
        </is>
      </c>
      <c r="G136" t="n">
        <v>3.2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40025-2019</t>
        </is>
      </c>
      <c r="B137" s="1" t="n">
        <v>43693</v>
      </c>
      <c r="C137" s="1" t="n">
        <v>45692</v>
      </c>
      <c r="D137" t="inlineStr">
        <is>
          <t>KALMAR LÄN</t>
        </is>
      </c>
      <c r="E137" t="inlineStr">
        <is>
          <t>TORSÅS</t>
        </is>
      </c>
      <c r="G137" t="n">
        <v>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40212-2019</t>
        </is>
      </c>
      <c r="B138" s="1" t="n">
        <v>43693</v>
      </c>
      <c r="C138" s="1" t="n">
        <v>45692</v>
      </c>
      <c r="D138" t="inlineStr">
        <is>
          <t>KALMAR LÄN</t>
        </is>
      </c>
      <c r="E138" t="inlineStr">
        <is>
          <t>TORSÅS</t>
        </is>
      </c>
      <c r="G138" t="n">
        <v>8.300000000000001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40207-2019</t>
        </is>
      </c>
      <c r="B139" s="1" t="n">
        <v>43693</v>
      </c>
      <c r="C139" s="1" t="n">
        <v>45692</v>
      </c>
      <c r="D139" t="inlineStr">
        <is>
          <t>KALMAR LÄN</t>
        </is>
      </c>
      <c r="E139" t="inlineStr">
        <is>
          <t>TORSÅS</t>
        </is>
      </c>
      <c r="G139" t="n">
        <v>14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40214-2019</t>
        </is>
      </c>
      <c r="B140" s="1" t="n">
        <v>43693</v>
      </c>
      <c r="C140" s="1" t="n">
        <v>45692</v>
      </c>
      <c r="D140" t="inlineStr">
        <is>
          <t>KALMAR LÄN</t>
        </is>
      </c>
      <c r="E140" t="inlineStr">
        <is>
          <t>TORSÅS</t>
        </is>
      </c>
      <c r="G140" t="n">
        <v>8.199999999999999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40200-2019</t>
        </is>
      </c>
      <c r="B141" s="1" t="n">
        <v>43693</v>
      </c>
      <c r="C141" s="1" t="n">
        <v>45692</v>
      </c>
      <c r="D141" t="inlineStr">
        <is>
          <t>KALMAR LÄN</t>
        </is>
      </c>
      <c r="E141" t="inlineStr">
        <is>
          <t>TORSÅS</t>
        </is>
      </c>
      <c r="G141" t="n">
        <v>5.5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40441-2019</t>
        </is>
      </c>
      <c r="B142" s="1" t="n">
        <v>43696</v>
      </c>
      <c r="C142" s="1" t="n">
        <v>45692</v>
      </c>
      <c r="D142" t="inlineStr">
        <is>
          <t>KALMAR LÄN</t>
        </is>
      </c>
      <c r="E142" t="inlineStr">
        <is>
          <t>TORSÅS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41044-2019</t>
        </is>
      </c>
      <c r="B143" s="1" t="n">
        <v>43698</v>
      </c>
      <c r="C143" s="1" t="n">
        <v>45692</v>
      </c>
      <c r="D143" t="inlineStr">
        <is>
          <t>KALMAR LÄN</t>
        </is>
      </c>
      <c r="E143" t="inlineStr">
        <is>
          <t>TORSÅS</t>
        </is>
      </c>
      <c r="G143" t="n">
        <v>9.300000000000001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41046-2019</t>
        </is>
      </c>
      <c r="B144" s="1" t="n">
        <v>43698</v>
      </c>
      <c r="C144" s="1" t="n">
        <v>45692</v>
      </c>
      <c r="D144" t="inlineStr">
        <is>
          <t>KALMAR LÄN</t>
        </is>
      </c>
      <c r="E144" t="inlineStr">
        <is>
          <t>TORSÅS</t>
        </is>
      </c>
      <c r="G144" t="n">
        <v>9.300000000000001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43136-2019</t>
        </is>
      </c>
      <c r="B145" s="1" t="n">
        <v>43705</v>
      </c>
      <c r="C145" s="1" t="n">
        <v>45692</v>
      </c>
      <c r="D145" t="inlineStr">
        <is>
          <t>KALMAR LÄN</t>
        </is>
      </c>
      <c r="E145" t="inlineStr">
        <is>
          <t>TORSÅS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43151-2019</t>
        </is>
      </c>
      <c r="B146" s="1" t="n">
        <v>43705</v>
      </c>
      <c r="C146" s="1" t="n">
        <v>45692</v>
      </c>
      <c r="D146" t="inlineStr">
        <is>
          <t>KALMAR LÄN</t>
        </is>
      </c>
      <c r="E146" t="inlineStr">
        <is>
          <t>TORSÅS</t>
        </is>
      </c>
      <c r="F146" t="inlineStr">
        <is>
          <t>Övriga Aktiebolag</t>
        </is>
      </c>
      <c r="G146" t="n">
        <v>8.1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43156-2019</t>
        </is>
      </c>
      <c r="B147" s="1" t="n">
        <v>43705</v>
      </c>
      <c r="C147" s="1" t="n">
        <v>45692</v>
      </c>
      <c r="D147" t="inlineStr">
        <is>
          <t>KALMAR LÄN</t>
        </is>
      </c>
      <c r="E147" t="inlineStr">
        <is>
          <t>TORSÅS</t>
        </is>
      </c>
      <c r="G147" t="n">
        <v>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44183-2019</t>
        </is>
      </c>
      <c r="B148" s="1" t="n">
        <v>43710</v>
      </c>
      <c r="C148" s="1" t="n">
        <v>45692</v>
      </c>
      <c r="D148" t="inlineStr">
        <is>
          <t>KALMAR LÄN</t>
        </is>
      </c>
      <c r="E148" t="inlineStr">
        <is>
          <t>TORSÅS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44193-2019</t>
        </is>
      </c>
      <c r="B149" s="1" t="n">
        <v>43710</v>
      </c>
      <c r="C149" s="1" t="n">
        <v>45692</v>
      </c>
      <c r="D149" t="inlineStr">
        <is>
          <t>KALMAR LÄN</t>
        </is>
      </c>
      <c r="E149" t="inlineStr">
        <is>
          <t>TORSÅS</t>
        </is>
      </c>
      <c r="G149" t="n">
        <v>2.5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44179-2019</t>
        </is>
      </c>
      <c r="B150" s="1" t="n">
        <v>43710</v>
      </c>
      <c r="C150" s="1" t="n">
        <v>45692</v>
      </c>
      <c r="D150" t="inlineStr">
        <is>
          <t>KALMAR LÄN</t>
        </is>
      </c>
      <c r="E150" t="inlineStr">
        <is>
          <t>TORSÅS</t>
        </is>
      </c>
      <c r="G150" t="n">
        <v>2.7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44192-2019</t>
        </is>
      </c>
      <c r="B151" s="1" t="n">
        <v>43710</v>
      </c>
      <c r="C151" s="1" t="n">
        <v>45692</v>
      </c>
      <c r="D151" t="inlineStr">
        <is>
          <t>KALMAR LÄN</t>
        </is>
      </c>
      <c r="E151" t="inlineStr">
        <is>
          <t>TORSÅS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44600-2019</t>
        </is>
      </c>
      <c r="B152" s="1" t="n">
        <v>43711</v>
      </c>
      <c r="C152" s="1" t="n">
        <v>45692</v>
      </c>
      <c r="D152" t="inlineStr">
        <is>
          <t>KALMAR LÄN</t>
        </is>
      </c>
      <c r="E152" t="inlineStr">
        <is>
          <t>TORSÅS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44579-2019</t>
        </is>
      </c>
      <c r="B153" s="1" t="n">
        <v>43711</v>
      </c>
      <c r="C153" s="1" t="n">
        <v>45692</v>
      </c>
      <c r="D153" t="inlineStr">
        <is>
          <t>KALMAR LÄN</t>
        </is>
      </c>
      <c r="E153" t="inlineStr">
        <is>
          <t>TORSÅS</t>
        </is>
      </c>
      <c r="G153" t="n">
        <v>3.4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44654-2019</t>
        </is>
      </c>
      <c r="B154" s="1" t="n">
        <v>43712</v>
      </c>
      <c r="C154" s="1" t="n">
        <v>45692</v>
      </c>
      <c r="D154" t="inlineStr">
        <is>
          <t>KALMAR LÄN</t>
        </is>
      </c>
      <c r="E154" t="inlineStr">
        <is>
          <t>TORSÅS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44650-2019</t>
        </is>
      </c>
      <c r="B155" s="1" t="n">
        <v>43712</v>
      </c>
      <c r="C155" s="1" t="n">
        <v>45692</v>
      </c>
      <c r="D155" t="inlineStr">
        <is>
          <t>KALMAR LÄN</t>
        </is>
      </c>
      <c r="E155" t="inlineStr">
        <is>
          <t>TORSÅS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44713-2019</t>
        </is>
      </c>
      <c r="B156" s="1" t="n">
        <v>43712</v>
      </c>
      <c r="C156" s="1" t="n">
        <v>45692</v>
      </c>
      <c r="D156" t="inlineStr">
        <is>
          <t>KALMAR LÄN</t>
        </is>
      </c>
      <c r="E156" t="inlineStr">
        <is>
          <t>TORSÅS</t>
        </is>
      </c>
      <c r="G156" t="n">
        <v>22.6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44661-2019</t>
        </is>
      </c>
      <c r="B157" s="1" t="n">
        <v>43712</v>
      </c>
      <c r="C157" s="1" t="n">
        <v>45692</v>
      </c>
      <c r="D157" t="inlineStr">
        <is>
          <t>KALMAR LÄN</t>
        </is>
      </c>
      <c r="E157" t="inlineStr">
        <is>
          <t>TORSÅS</t>
        </is>
      </c>
      <c r="F157" t="inlineStr">
        <is>
          <t>Övriga Aktiebolag</t>
        </is>
      </c>
      <c r="G157" t="n">
        <v>3.3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45256-2019</t>
        </is>
      </c>
      <c r="B158" s="1" t="n">
        <v>43713</v>
      </c>
      <c r="C158" s="1" t="n">
        <v>45692</v>
      </c>
      <c r="D158" t="inlineStr">
        <is>
          <t>KALMAR LÄN</t>
        </is>
      </c>
      <c r="E158" t="inlineStr">
        <is>
          <t>TORSÅS</t>
        </is>
      </c>
      <c r="G158" t="n">
        <v>5.4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45354-2019</t>
        </is>
      </c>
      <c r="B159" s="1" t="n">
        <v>43714</v>
      </c>
      <c r="C159" s="1" t="n">
        <v>45692</v>
      </c>
      <c r="D159" t="inlineStr">
        <is>
          <t>KALMAR LÄN</t>
        </is>
      </c>
      <c r="E159" t="inlineStr">
        <is>
          <t>TORSÅS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45593-2019</t>
        </is>
      </c>
      <c r="B160" s="1" t="n">
        <v>43717</v>
      </c>
      <c r="C160" s="1" t="n">
        <v>45692</v>
      </c>
      <c r="D160" t="inlineStr">
        <is>
          <t>KALMAR LÄN</t>
        </is>
      </c>
      <c r="E160" t="inlineStr">
        <is>
          <t>TORSÅS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45591-2019</t>
        </is>
      </c>
      <c r="B161" s="1" t="n">
        <v>43717</v>
      </c>
      <c r="C161" s="1" t="n">
        <v>45692</v>
      </c>
      <c r="D161" t="inlineStr">
        <is>
          <t>KALMAR LÄN</t>
        </is>
      </c>
      <c r="E161" t="inlineStr">
        <is>
          <t>TORSÅS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46046-2019</t>
        </is>
      </c>
      <c r="B162" s="1" t="n">
        <v>43718</v>
      </c>
      <c r="C162" s="1" t="n">
        <v>45692</v>
      </c>
      <c r="D162" t="inlineStr">
        <is>
          <t>KALMAR LÄN</t>
        </is>
      </c>
      <c r="E162" t="inlineStr">
        <is>
          <t>TORSÅS</t>
        </is>
      </c>
      <c r="G162" t="n">
        <v>5.7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46132-2019</t>
        </is>
      </c>
      <c r="B163" s="1" t="n">
        <v>43718</v>
      </c>
      <c r="C163" s="1" t="n">
        <v>45692</v>
      </c>
      <c r="D163" t="inlineStr">
        <is>
          <t>KALMAR LÄN</t>
        </is>
      </c>
      <c r="E163" t="inlineStr">
        <is>
          <t>TORSÅS</t>
        </is>
      </c>
      <c r="G163" t="n">
        <v>9.800000000000001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46103-2019</t>
        </is>
      </c>
      <c r="B164" s="1" t="n">
        <v>43718</v>
      </c>
      <c r="C164" s="1" t="n">
        <v>45692</v>
      </c>
      <c r="D164" t="inlineStr">
        <is>
          <t>KALMAR LÄN</t>
        </is>
      </c>
      <c r="E164" t="inlineStr">
        <is>
          <t>TORSÅS</t>
        </is>
      </c>
      <c r="G164" t="n">
        <v>8.4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46529-2019</t>
        </is>
      </c>
      <c r="B165" s="1" t="n">
        <v>43719</v>
      </c>
      <c r="C165" s="1" t="n">
        <v>45692</v>
      </c>
      <c r="D165" t="inlineStr">
        <is>
          <t>KALMAR LÄN</t>
        </is>
      </c>
      <c r="E165" t="inlineStr">
        <is>
          <t>TORSÅS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48290-2019</t>
        </is>
      </c>
      <c r="B166" s="1" t="n">
        <v>43726</v>
      </c>
      <c r="C166" s="1" t="n">
        <v>45692</v>
      </c>
      <c r="D166" t="inlineStr">
        <is>
          <t>KALMAR LÄN</t>
        </is>
      </c>
      <c r="E166" t="inlineStr">
        <is>
          <t>TORSÅS</t>
        </is>
      </c>
      <c r="G166" t="n">
        <v>1.8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48648-2019</t>
        </is>
      </c>
      <c r="B167" s="1" t="n">
        <v>43728</v>
      </c>
      <c r="C167" s="1" t="n">
        <v>45692</v>
      </c>
      <c r="D167" t="inlineStr">
        <is>
          <t>KALMAR LÄN</t>
        </is>
      </c>
      <c r="E167" t="inlineStr">
        <is>
          <t>TORSÅS</t>
        </is>
      </c>
      <c r="G167" t="n">
        <v>12.2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49664-2019</t>
        </is>
      </c>
      <c r="B168" s="1" t="n">
        <v>43732</v>
      </c>
      <c r="C168" s="1" t="n">
        <v>45692</v>
      </c>
      <c r="D168" t="inlineStr">
        <is>
          <t>KALMAR LÄN</t>
        </is>
      </c>
      <c r="E168" t="inlineStr">
        <is>
          <t>TORSÅS</t>
        </is>
      </c>
      <c r="G168" t="n">
        <v>5.8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49669-2019</t>
        </is>
      </c>
      <c r="B169" s="1" t="n">
        <v>43732</v>
      </c>
      <c r="C169" s="1" t="n">
        <v>45692</v>
      </c>
      <c r="D169" t="inlineStr">
        <is>
          <t>KALMAR LÄN</t>
        </is>
      </c>
      <c r="E169" t="inlineStr">
        <is>
          <t>TORSÅS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49663-2019</t>
        </is>
      </c>
      <c r="B170" s="1" t="n">
        <v>43732</v>
      </c>
      <c r="C170" s="1" t="n">
        <v>45692</v>
      </c>
      <c r="D170" t="inlineStr">
        <is>
          <t>KALMAR LÄN</t>
        </is>
      </c>
      <c r="E170" t="inlineStr">
        <is>
          <t>TORSÅS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49666-2019</t>
        </is>
      </c>
      <c r="B171" s="1" t="n">
        <v>43732</v>
      </c>
      <c r="C171" s="1" t="n">
        <v>45692</v>
      </c>
      <c r="D171" t="inlineStr">
        <is>
          <t>KALMAR LÄN</t>
        </is>
      </c>
      <c r="E171" t="inlineStr">
        <is>
          <t>TORSÅS</t>
        </is>
      </c>
      <c r="G171" t="n">
        <v>4.2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49810-2019</t>
        </is>
      </c>
      <c r="B172" s="1" t="n">
        <v>43733</v>
      </c>
      <c r="C172" s="1" t="n">
        <v>45692</v>
      </c>
      <c r="D172" t="inlineStr">
        <is>
          <t>KALMAR LÄN</t>
        </is>
      </c>
      <c r="E172" t="inlineStr">
        <is>
          <t>TORSÅS</t>
        </is>
      </c>
      <c r="G172" t="n">
        <v>23.7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50262-2019</t>
        </is>
      </c>
      <c r="B173" s="1" t="n">
        <v>43734</v>
      </c>
      <c r="C173" s="1" t="n">
        <v>45692</v>
      </c>
      <c r="D173" t="inlineStr">
        <is>
          <t>KALMAR LÄN</t>
        </is>
      </c>
      <c r="E173" t="inlineStr">
        <is>
          <t>TORSÅS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50961-2019</t>
        </is>
      </c>
      <c r="B174" s="1" t="n">
        <v>43738</v>
      </c>
      <c r="C174" s="1" t="n">
        <v>45692</v>
      </c>
      <c r="D174" t="inlineStr">
        <is>
          <t>KALMAR LÄN</t>
        </is>
      </c>
      <c r="E174" t="inlineStr">
        <is>
          <t>TORSÅS</t>
        </is>
      </c>
      <c r="G174" t="n">
        <v>2.5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51616-2019</t>
        </is>
      </c>
      <c r="B175" s="1" t="n">
        <v>43740</v>
      </c>
      <c r="C175" s="1" t="n">
        <v>45692</v>
      </c>
      <c r="D175" t="inlineStr">
        <is>
          <t>KALMAR LÄN</t>
        </is>
      </c>
      <c r="E175" t="inlineStr">
        <is>
          <t>TORSÅS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51493-2019</t>
        </is>
      </c>
      <c r="B176" s="1" t="n">
        <v>43740</v>
      </c>
      <c r="C176" s="1" t="n">
        <v>45692</v>
      </c>
      <c r="D176" t="inlineStr">
        <is>
          <t>KALMAR LÄN</t>
        </is>
      </c>
      <c r="E176" t="inlineStr">
        <is>
          <t>TORSÅS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53013-2019</t>
        </is>
      </c>
      <c r="B177" s="1" t="n">
        <v>43747</v>
      </c>
      <c r="C177" s="1" t="n">
        <v>45692</v>
      </c>
      <c r="D177" t="inlineStr">
        <is>
          <t>KALMAR LÄN</t>
        </is>
      </c>
      <c r="E177" t="inlineStr">
        <is>
          <t>TORSÅS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53907-2019</t>
        </is>
      </c>
      <c r="B178" s="1" t="n">
        <v>43752</v>
      </c>
      <c r="C178" s="1" t="n">
        <v>45692</v>
      </c>
      <c r="D178" t="inlineStr">
        <is>
          <t>KALMAR LÄN</t>
        </is>
      </c>
      <c r="E178" t="inlineStr">
        <is>
          <t>TORSÅS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54267-2019</t>
        </is>
      </c>
      <c r="B179" s="1" t="n">
        <v>43753</v>
      </c>
      <c r="C179" s="1" t="n">
        <v>45692</v>
      </c>
      <c r="D179" t="inlineStr">
        <is>
          <t>KALMAR LÄN</t>
        </is>
      </c>
      <c r="E179" t="inlineStr">
        <is>
          <t>TORSÅS</t>
        </is>
      </c>
      <c r="G179" t="n">
        <v>5.7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54801-2019</t>
        </is>
      </c>
      <c r="B180" s="1" t="n">
        <v>43755</v>
      </c>
      <c r="C180" s="1" t="n">
        <v>45692</v>
      </c>
      <c r="D180" t="inlineStr">
        <is>
          <t>KALMAR LÄN</t>
        </is>
      </c>
      <c r="E180" t="inlineStr">
        <is>
          <t>TORSÅS</t>
        </is>
      </c>
      <c r="G180" t="n">
        <v>2.9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54793-2019</t>
        </is>
      </c>
      <c r="B181" s="1" t="n">
        <v>43755</v>
      </c>
      <c r="C181" s="1" t="n">
        <v>45692</v>
      </c>
      <c r="D181" t="inlineStr">
        <is>
          <t>KALMAR LÄN</t>
        </is>
      </c>
      <c r="E181" t="inlineStr">
        <is>
          <t>TORSÅS</t>
        </is>
      </c>
      <c r="G181" t="n">
        <v>14.7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54785-2019</t>
        </is>
      </c>
      <c r="B182" s="1" t="n">
        <v>43755</v>
      </c>
      <c r="C182" s="1" t="n">
        <v>45692</v>
      </c>
      <c r="D182" t="inlineStr">
        <is>
          <t>KALMAR LÄN</t>
        </is>
      </c>
      <c r="E182" t="inlineStr">
        <is>
          <t>TORSÅS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56854-2019</t>
        </is>
      </c>
      <c r="B183" s="1" t="n">
        <v>43766</v>
      </c>
      <c r="C183" s="1" t="n">
        <v>45692</v>
      </c>
      <c r="D183" t="inlineStr">
        <is>
          <t>KALMAR LÄN</t>
        </is>
      </c>
      <c r="E183" t="inlineStr">
        <is>
          <t>TORSÅS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56899-2019</t>
        </is>
      </c>
      <c r="B184" s="1" t="n">
        <v>43766</v>
      </c>
      <c r="C184" s="1" t="n">
        <v>45692</v>
      </c>
      <c r="D184" t="inlineStr">
        <is>
          <t>KALMAR LÄN</t>
        </is>
      </c>
      <c r="E184" t="inlineStr">
        <is>
          <t>TORSÅS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57108-2019</t>
        </is>
      </c>
      <c r="B185" s="1" t="n">
        <v>43766</v>
      </c>
      <c r="C185" s="1" t="n">
        <v>45692</v>
      </c>
      <c r="D185" t="inlineStr">
        <is>
          <t>KALMAR LÄN</t>
        </is>
      </c>
      <c r="E185" t="inlineStr">
        <is>
          <t>TORSÅS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57133-2019</t>
        </is>
      </c>
      <c r="B186" s="1" t="n">
        <v>43766</v>
      </c>
      <c r="C186" s="1" t="n">
        <v>45692</v>
      </c>
      <c r="D186" t="inlineStr">
        <is>
          <t>KALMAR LÄN</t>
        </is>
      </c>
      <c r="E186" t="inlineStr">
        <is>
          <t>TORSÅS</t>
        </is>
      </c>
      <c r="G186" t="n">
        <v>6.9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57131-2019</t>
        </is>
      </c>
      <c r="B187" s="1" t="n">
        <v>43766</v>
      </c>
      <c r="C187" s="1" t="n">
        <v>45692</v>
      </c>
      <c r="D187" t="inlineStr">
        <is>
          <t>KALMAR LÄN</t>
        </is>
      </c>
      <c r="E187" t="inlineStr">
        <is>
          <t>TORSÅS</t>
        </is>
      </c>
      <c r="G187" t="n">
        <v>8.199999999999999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57154-2019</t>
        </is>
      </c>
      <c r="B188" s="1" t="n">
        <v>43766</v>
      </c>
      <c r="C188" s="1" t="n">
        <v>45692</v>
      </c>
      <c r="D188" t="inlineStr">
        <is>
          <t>KALMAR LÄN</t>
        </is>
      </c>
      <c r="E188" t="inlineStr">
        <is>
          <t>TORSÅS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57625-2019</t>
        </is>
      </c>
      <c r="B189" s="1" t="n">
        <v>43768</v>
      </c>
      <c r="C189" s="1" t="n">
        <v>45692</v>
      </c>
      <c r="D189" t="inlineStr">
        <is>
          <t>KALMAR LÄN</t>
        </is>
      </c>
      <c r="E189" t="inlineStr">
        <is>
          <t>TORSÅS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58633-2019</t>
        </is>
      </c>
      <c r="B190" s="1" t="n">
        <v>43773</v>
      </c>
      <c r="C190" s="1" t="n">
        <v>45692</v>
      </c>
      <c r="D190" t="inlineStr">
        <is>
          <t>KALMAR LÄN</t>
        </is>
      </c>
      <c r="E190" t="inlineStr">
        <is>
          <t>TORSÅS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58571-2019</t>
        </is>
      </c>
      <c r="B191" s="1" t="n">
        <v>43773</v>
      </c>
      <c r="C191" s="1" t="n">
        <v>45692</v>
      </c>
      <c r="D191" t="inlineStr">
        <is>
          <t>KALMAR LÄN</t>
        </is>
      </c>
      <c r="E191" t="inlineStr">
        <is>
          <t>TORSÅS</t>
        </is>
      </c>
      <c r="G191" t="n">
        <v>10.4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59411-2019</t>
        </is>
      </c>
      <c r="B192" s="1" t="n">
        <v>43775</v>
      </c>
      <c r="C192" s="1" t="n">
        <v>45692</v>
      </c>
      <c r="D192" t="inlineStr">
        <is>
          <t>KALMAR LÄN</t>
        </is>
      </c>
      <c r="E192" t="inlineStr">
        <is>
          <t>TORSÅS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59755-2019</t>
        </is>
      </c>
      <c r="B193" s="1" t="n">
        <v>43776</v>
      </c>
      <c r="C193" s="1" t="n">
        <v>45692</v>
      </c>
      <c r="D193" t="inlineStr">
        <is>
          <t>KALMAR LÄN</t>
        </is>
      </c>
      <c r="E193" t="inlineStr">
        <is>
          <t>TORSÅS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60642-2019</t>
        </is>
      </c>
      <c r="B194" s="1" t="n">
        <v>43781</v>
      </c>
      <c r="C194" s="1" t="n">
        <v>45692</v>
      </c>
      <c r="D194" t="inlineStr">
        <is>
          <t>KALMAR LÄN</t>
        </is>
      </c>
      <c r="E194" t="inlineStr">
        <is>
          <t>TORSÅS</t>
        </is>
      </c>
      <c r="G194" t="n">
        <v>3.2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60640-2019</t>
        </is>
      </c>
      <c r="B195" s="1" t="n">
        <v>43781</v>
      </c>
      <c r="C195" s="1" t="n">
        <v>45692</v>
      </c>
      <c r="D195" t="inlineStr">
        <is>
          <t>KALMAR LÄN</t>
        </is>
      </c>
      <c r="E195" t="inlineStr">
        <is>
          <t>TORSÅS</t>
        </is>
      </c>
      <c r="G195" t="n">
        <v>9.6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61190-2019</t>
        </is>
      </c>
      <c r="B196" s="1" t="n">
        <v>43782</v>
      </c>
      <c r="C196" s="1" t="n">
        <v>45692</v>
      </c>
      <c r="D196" t="inlineStr">
        <is>
          <t>KALMAR LÄN</t>
        </is>
      </c>
      <c r="E196" t="inlineStr">
        <is>
          <t>TORSÅS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62521-2019</t>
        </is>
      </c>
      <c r="B197" s="1" t="n">
        <v>43789</v>
      </c>
      <c r="C197" s="1" t="n">
        <v>45692</v>
      </c>
      <c r="D197" t="inlineStr">
        <is>
          <t>KALMAR LÄN</t>
        </is>
      </c>
      <c r="E197" t="inlineStr">
        <is>
          <t>TORSÅS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62520-2019</t>
        </is>
      </c>
      <c r="B198" s="1" t="n">
        <v>43789</v>
      </c>
      <c r="C198" s="1" t="n">
        <v>45692</v>
      </c>
      <c r="D198" t="inlineStr">
        <is>
          <t>KALMAR LÄN</t>
        </is>
      </c>
      <c r="E198" t="inlineStr">
        <is>
          <t>TORSÅS</t>
        </is>
      </c>
      <c r="G198" t="n">
        <v>2.6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62968-2019</t>
        </is>
      </c>
      <c r="B199" s="1" t="n">
        <v>43790</v>
      </c>
      <c r="C199" s="1" t="n">
        <v>45692</v>
      </c>
      <c r="D199" t="inlineStr">
        <is>
          <t>KALMAR LÄN</t>
        </is>
      </c>
      <c r="E199" t="inlineStr">
        <is>
          <t>TORSÅS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63304-2019</t>
        </is>
      </c>
      <c r="B200" s="1" t="n">
        <v>43794</v>
      </c>
      <c r="C200" s="1" t="n">
        <v>45692</v>
      </c>
      <c r="D200" t="inlineStr">
        <is>
          <t>KALMAR LÄN</t>
        </is>
      </c>
      <c r="E200" t="inlineStr">
        <is>
          <t>TORSÅS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63303-2019</t>
        </is>
      </c>
      <c r="B201" s="1" t="n">
        <v>43794</v>
      </c>
      <c r="C201" s="1" t="n">
        <v>45692</v>
      </c>
      <c r="D201" t="inlineStr">
        <is>
          <t>KALMAR LÄN</t>
        </is>
      </c>
      <c r="E201" t="inlineStr">
        <is>
          <t>TORSÅS</t>
        </is>
      </c>
      <c r="G201" t="n">
        <v>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63301-2019</t>
        </is>
      </c>
      <c r="B202" s="1" t="n">
        <v>43794</v>
      </c>
      <c r="C202" s="1" t="n">
        <v>45692</v>
      </c>
      <c r="D202" t="inlineStr">
        <is>
          <t>KALMAR LÄN</t>
        </is>
      </c>
      <c r="E202" t="inlineStr">
        <is>
          <t>TORSÅS</t>
        </is>
      </c>
      <c r="G202" t="n">
        <v>19.5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63731-2019</t>
        </is>
      </c>
      <c r="B203" s="1" t="n">
        <v>43795</v>
      </c>
      <c r="C203" s="1" t="n">
        <v>45692</v>
      </c>
      <c r="D203" t="inlineStr">
        <is>
          <t>KALMAR LÄN</t>
        </is>
      </c>
      <c r="E203" t="inlineStr">
        <is>
          <t>TORSÅS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63610-2019</t>
        </is>
      </c>
      <c r="B204" s="1" t="n">
        <v>43795</v>
      </c>
      <c r="C204" s="1" t="n">
        <v>45692</v>
      </c>
      <c r="D204" t="inlineStr">
        <is>
          <t>KALMAR LÄN</t>
        </is>
      </c>
      <c r="E204" t="inlineStr">
        <is>
          <t>TORSÅS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63961-2019</t>
        </is>
      </c>
      <c r="B205" s="1" t="n">
        <v>43796</v>
      </c>
      <c r="C205" s="1" t="n">
        <v>45692</v>
      </c>
      <c r="D205" t="inlineStr">
        <is>
          <t>KALMAR LÄN</t>
        </is>
      </c>
      <c r="E205" t="inlineStr">
        <is>
          <t>TORSÅS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63959-2019</t>
        </is>
      </c>
      <c r="B206" s="1" t="n">
        <v>43796</v>
      </c>
      <c r="C206" s="1" t="n">
        <v>45692</v>
      </c>
      <c r="D206" t="inlineStr">
        <is>
          <t>KALMAR LÄN</t>
        </is>
      </c>
      <c r="E206" t="inlineStr">
        <is>
          <t>TORSÅS</t>
        </is>
      </c>
      <c r="G206" t="n">
        <v>6.3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64180-2019</t>
        </is>
      </c>
      <c r="B207" s="1" t="n">
        <v>43797</v>
      </c>
      <c r="C207" s="1" t="n">
        <v>45692</v>
      </c>
      <c r="D207" t="inlineStr">
        <is>
          <t>KALMAR LÄN</t>
        </is>
      </c>
      <c r="E207" t="inlineStr">
        <is>
          <t>TORSÅS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65649-2019</t>
        </is>
      </c>
      <c r="B208" s="1" t="n">
        <v>43804</v>
      </c>
      <c r="C208" s="1" t="n">
        <v>45692</v>
      </c>
      <c r="D208" t="inlineStr">
        <is>
          <t>KALMAR LÄN</t>
        </is>
      </c>
      <c r="E208" t="inlineStr">
        <is>
          <t>TORSÅS</t>
        </is>
      </c>
      <c r="G208" t="n">
        <v>2.9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67704-2019</t>
        </is>
      </c>
      <c r="B209" s="1" t="n">
        <v>43810</v>
      </c>
      <c r="C209" s="1" t="n">
        <v>45692</v>
      </c>
      <c r="D209" t="inlineStr">
        <is>
          <t>KALMAR LÄN</t>
        </is>
      </c>
      <c r="E209" t="inlineStr">
        <is>
          <t>TORSÅS</t>
        </is>
      </c>
      <c r="G209" t="n">
        <v>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67017-2019</t>
        </is>
      </c>
      <c r="B210" s="1" t="n">
        <v>43811</v>
      </c>
      <c r="C210" s="1" t="n">
        <v>45692</v>
      </c>
      <c r="D210" t="inlineStr">
        <is>
          <t>KALMAR LÄN</t>
        </is>
      </c>
      <c r="E210" t="inlineStr">
        <is>
          <t>TORSÅS</t>
        </is>
      </c>
      <c r="G210" t="n">
        <v>4.8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67546-2019</t>
        </is>
      </c>
      <c r="B211" s="1" t="n">
        <v>43815</v>
      </c>
      <c r="C211" s="1" t="n">
        <v>45692</v>
      </c>
      <c r="D211" t="inlineStr">
        <is>
          <t>KALMAR LÄN</t>
        </is>
      </c>
      <c r="E211" t="inlineStr">
        <is>
          <t>TORSÅS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68824-2019</t>
        </is>
      </c>
      <c r="B212" s="1" t="n">
        <v>43819</v>
      </c>
      <c r="C212" s="1" t="n">
        <v>45692</v>
      </c>
      <c r="D212" t="inlineStr">
        <is>
          <t>KALMAR LÄN</t>
        </is>
      </c>
      <c r="E212" t="inlineStr">
        <is>
          <t>TORSÅS</t>
        </is>
      </c>
      <c r="G212" t="n">
        <v>4.7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1443-2020</t>
        </is>
      </c>
      <c r="B213" s="1" t="n">
        <v>43822</v>
      </c>
      <c r="C213" s="1" t="n">
        <v>45692</v>
      </c>
      <c r="D213" t="inlineStr">
        <is>
          <t>KALMAR LÄN</t>
        </is>
      </c>
      <c r="E213" t="inlineStr">
        <is>
          <t>TORSÅS</t>
        </is>
      </c>
      <c r="G213" t="n">
        <v>1.7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512-2020</t>
        </is>
      </c>
      <c r="B214" s="1" t="n">
        <v>43837</v>
      </c>
      <c r="C214" s="1" t="n">
        <v>45692</v>
      </c>
      <c r="D214" t="inlineStr">
        <is>
          <t>KALMAR LÄN</t>
        </is>
      </c>
      <c r="E214" t="inlineStr">
        <is>
          <t>TORSÅS</t>
        </is>
      </c>
      <c r="G214" t="n">
        <v>2.3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1125-2020</t>
        </is>
      </c>
      <c r="B215" s="1" t="n">
        <v>43840</v>
      </c>
      <c r="C215" s="1" t="n">
        <v>45692</v>
      </c>
      <c r="D215" t="inlineStr">
        <is>
          <t>KALMAR LÄN</t>
        </is>
      </c>
      <c r="E215" t="inlineStr">
        <is>
          <t>TORSÅS</t>
        </is>
      </c>
      <c r="G215" t="n">
        <v>13.2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1095-2020</t>
        </is>
      </c>
      <c r="B216" s="1" t="n">
        <v>43840</v>
      </c>
      <c r="C216" s="1" t="n">
        <v>45692</v>
      </c>
      <c r="D216" t="inlineStr">
        <is>
          <t>KALMAR LÄN</t>
        </is>
      </c>
      <c r="E216" t="inlineStr">
        <is>
          <t>TORSÅS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2343-2020</t>
        </is>
      </c>
      <c r="B217" s="1" t="n">
        <v>43846</v>
      </c>
      <c r="C217" s="1" t="n">
        <v>45692</v>
      </c>
      <c r="D217" t="inlineStr">
        <is>
          <t>KALMAR LÄN</t>
        </is>
      </c>
      <c r="E217" t="inlineStr">
        <is>
          <t>TORSÅS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3104-2020</t>
        </is>
      </c>
      <c r="B218" s="1" t="n">
        <v>43851</v>
      </c>
      <c r="C218" s="1" t="n">
        <v>45692</v>
      </c>
      <c r="D218" t="inlineStr">
        <is>
          <t>KALMAR LÄN</t>
        </is>
      </c>
      <c r="E218" t="inlineStr">
        <is>
          <t>TORSÅS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4314-2020</t>
        </is>
      </c>
      <c r="B219" s="1" t="n">
        <v>43857</v>
      </c>
      <c r="C219" s="1" t="n">
        <v>45692</v>
      </c>
      <c r="D219" t="inlineStr">
        <is>
          <t>KALMAR LÄN</t>
        </is>
      </c>
      <c r="E219" t="inlineStr">
        <is>
          <t>TORSÅS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4947-2020</t>
        </is>
      </c>
      <c r="B220" s="1" t="n">
        <v>43859</v>
      </c>
      <c r="C220" s="1" t="n">
        <v>45692</v>
      </c>
      <c r="D220" t="inlineStr">
        <is>
          <t>KALMAR LÄN</t>
        </is>
      </c>
      <c r="E220" t="inlineStr">
        <is>
          <t>TORSÅS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5672-2020</t>
        </is>
      </c>
      <c r="B221" s="1" t="n">
        <v>43861</v>
      </c>
      <c r="C221" s="1" t="n">
        <v>45692</v>
      </c>
      <c r="D221" t="inlineStr">
        <is>
          <t>KALMAR LÄN</t>
        </is>
      </c>
      <c r="E221" t="inlineStr">
        <is>
          <t>TORSÅS</t>
        </is>
      </c>
      <c r="G221" t="n">
        <v>2.7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5666-2020</t>
        </is>
      </c>
      <c r="B222" s="1" t="n">
        <v>43861</v>
      </c>
      <c r="C222" s="1" t="n">
        <v>45692</v>
      </c>
      <c r="D222" t="inlineStr">
        <is>
          <t>KALMAR LÄN</t>
        </is>
      </c>
      <c r="E222" t="inlineStr">
        <is>
          <t>TORSÅS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5670-2020</t>
        </is>
      </c>
      <c r="B223" s="1" t="n">
        <v>43861</v>
      </c>
      <c r="C223" s="1" t="n">
        <v>45692</v>
      </c>
      <c r="D223" t="inlineStr">
        <is>
          <t>KALMAR LÄN</t>
        </is>
      </c>
      <c r="E223" t="inlineStr">
        <is>
          <t>TORSÅS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6311-2020</t>
        </is>
      </c>
      <c r="B224" s="1" t="n">
        <v>43866</v>
      </c>
      <c r="C224" s="1" t="n">
        <v>45692</v>
      </c>
      <c r="D224" t="inlineStr">
        <is>
          <t>KALMAR LÄN</t>
        </is>
      </c>
      <c r="E224" t="inlineStr">
        <is>
          <t>TORSÅS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6800-2020</t>
        </is>
      </c>
      <c r="B225" s="1" t="n">
        <v>43867</v>
      </c>
      <c r="C225" s="1" t="n">
        <v>45692</v>
      </c>
      <c r="D225" t="inlineStr">
        <is>
          <t>KALMAR LÄN</t>
        </is>
      </c>
      <c r="E225" t="inlineStr">
        <is>
          <t>TORSÅS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6798-2020</t>
        </is>
      </c>
      <c r="B226" s="1" t="n">
        <v>43867</v>
      </c>
      <c r="C226" s="1" t="n">
        <v>45692</v>
      </c>
      <c r="D226" t="inlineStr">
        <is>
          <t>KALMAR LÄN</t>
        </is>
      </c>
      <c r="E226" t="inlineStr">
        <is>
          <t>TORSÅS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7049-2020</t>
        </is>
      </c>
      <c r="B227" s="1" t="n">
        <v>43868</v>
      </c>
      <c r="C227" s="1" t="n">
        <v>45692</v>
      </c>
      <c r="D227" t="inlineStr">
        <is>
          <t>KALMAR LÄN</t>
        </is>
      </c>
      <c r="E227" t="inlineStr">
        <is>
          <t>TORSÅS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7852-2020</t>
        </is>
      </c>
      <c r="B228" s="1" t="n">
        <v>43873</v>
      </c>
      <c r="C228" s="1" t="n">
        <v>45692</v>
      </c>
      <c r="D228" t="inlineStr">
        <is>
          <t>KALMAR LÄN</t>
        </is>
      </c>
      <c r="E228" t="inlineStr">
        <is>
          <t>TORSÅS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8736-2020</t>
        </is>
      </c>
      <c r="B229" s="1" t="n">
        <v>43878</v>
      </c>
      <c r="C229" s="1" t="n">
        <v>45692</v>
      </c>
      <c r="D229" t="inlineStr">
        <is>
          <t>KALMAR LÄN</t>
        </is>
      </c>
      <c r="E229" t="inlineStr">
        <is>
          <t>TORSÅS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10188-2020</t>
        </is>
      </c>
      <c r="B230" s="1" t="n">
        <v>43885</v>
      </c>
      <c r="C230" s="1" t="n">
        <v>45692</v>
      </c>
      <c r="D230" t="inlineStr">
        <is>
          <t>KALMAR LÄN</t>
        </is>
      </c>
      <c r="E230" t="inlineStr">
        <is>
          <t>TORSÅS</t>
        </is>
      </c>
      <c r="G230" t="n">
        <v>5.9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10190-2020</t>
        </is>
      </c>
      <c r="B231" s="1" t="n">
        <v>43885</v>
      </c>
      <c r="C231" s="1" t="n">
        <v>45692</v>
      </c>
      <c r="D231" t="inlineStr">
        <is>
          <t>KALMAR LÄN</t>
        </is>
      </c>
      <c r="E231" t="inlineStr">
        <is>
          <t>TORSÅS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10221-2020</t>
        </is>
      </c>
      <c r="B232" s="1" t="n">
        <v>43887</v>
      </c>
      <c r="C232" s="1" t="n">
        <v>45692</v>
      </c>
      <c r="D232" t="inlineStr">
        <is>
          <t>KALMAR LÄN</t>
        </is>
      </c>
      <c r="E232" t="inlineStr">
        <is>
          <t>TORSÅS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11371-2020</t>
        </is>
      </c>
      <c r="B233" s="1" t="n">
        <v>43892</v>
      </c>
      <c r="C233" s="1" t="n">
        <v>45692</v>
      </c>
      <c r="D233" t="inlineStr">
        <is>
          <t>KALMAR LÄN</t>
        </is>
      </c>
      <c r="E233" t="inlineStr">
        <is>
          <t>TORSÅS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11384-2020</t>
        </is>
      </c>
      <c r="B234" s="1" t="n">
        <v>43892</v>
      </c>
      <c r="C234" s="1" t="n">
        <v>45692</v>
      </c>
      <c r="D234" t="inlineStr">
        <is>
          <t>KALMAR LÄN</t>
        </is>
      </c>
      <c r="E234" t="inlineStr">
        <is>
          <t>TORSÅS</t>
        </is>
      </c>
      <c r="G234" t="n">
        <v>4.4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11379-2020</t>
        </is>
      </c>
      <c r="B235" s="1" t="n">
        <v>43892</v>
      </c>
      <c r="C235" s="1" t="n">
        <v>45692</v>
      </c>
      <c r="D235" t="inlineStr">
        <is>
          <t>KALMAR LÄN</t>
        </is>
      </c>
      <c r="E235" t="inlineStr">
        <is>
          <t>TORSÅS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12296-2020</t>
        </is>
      </c>
      <c r="B236" s="1" t="n">
        <v>43895</v>
      </c>
      <c r="C236" s="1" t="n">
        <v>45692</v>
      </c>
      <c r="D236" t="inlineStr">
        <is>
          <t>KALMAR LÄN</t>
        </is>
      </c>
      <c r="E236" t="inlineStr">
        <is>
          <t>TORSÅS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12555-2020</t>
        </is>
      </c>
      <c r="B237" s="1" t="n">
        <v>43898</v>
      </c>
      <c r="C237" s="1" t="n">
        <v>45692</v>
      </c>
      <c r="D237" t="inlineStr">
        <is>
          <t>KALMAR LÄN</t>
        </is>
      </c>
      <c r="E237" t="inlineStr">
        <is>
          <t>TORSÅS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13647-2020</t>
        </is>
      </c>
      <c r="B238" s="1" t="n">
        <v>43903</v>
      </c>
      <c r="C238" s="1" t="n">
        <v>45692</v>
      </c>
      <c r="D238" t="inlineStr">
        <is>
          <t>KALMAR LÄN</t>
        </is>
      </c>
      <c r="E238" t="inlineStr">
        <is>
          <t>TORSÅS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14191-2020</t>
        </is>
      </c>
      <c r="B239" s="1" t="n">
        <v>43907</v>
      </c>
      <c r="C239" s="1" t="n">
        <v>45692</v>
      </c>
      <c r="D239" t="inlineStr">
        <is>
          <t>KALMAR LÄN</t>
        </is>
      </c>
      <c r="E239" t="inlineStr">
        <is>
          <t>TORSÅS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14205-2020</t>
        </is>
      </c>
      <c r="B240" s="1" t="n">
        <v>43907</v>
      </c>
      <c r="C240" s="1" t="n">
        <v>45692</v>
      </c>
      <c r="D240" t="inlineStr">
        <is>
          <t>KALMAR LÄN</t>
        </is>
      </c>
      <c r="E240" t="inlineStr">
        <is>
          <t>TORSÅS</t>
        </is>
      </c>
      <c r="G240" t="n">
        <v>1.9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15784-2020</t>
        </is>
      </c>
      <c r="B241" s="1" t="n">
        <v>43907</v>
      </c>
      <c r="C241" s="1" t="n">
        <v>45692</v>
      </c>
      <c r="D241" t="inlineStr">
        <is>
          <t>KALMAR LÄN</t>
        </is>
      </c>
      <c r="E241" t="inlineStr">
        <is>
          <t>TORSÅS</t>
        </is>
      </c>
      <c r="G241" t="n">
        <v>14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14335-2020</t>
        </is>
      </c>
      <c r="B242" s="1" t="n">
        <v>43908</v>
      </c>
      <c r="C242" s="1" t="n">
        <v>45692</v>
      </c>
      <c r="D242" t="inlineStr">
        <is>
          <t>KALMAR LÄN</t>
        </is>
      </c>
      <c r="E242" t="inlineStr">
        <is>
          <t>TORSÅS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14338-2020</t>
        </is>
      </c>
      <c r="B243" s="1" t="n">
        <v>43908</v>
      </c>
      <c r="C243" s="1" t="n">
        <v>45692</v>
      </c>
      <c r="D243" t="inlineStr">
        <is>
          <t>KALMAR LÄN</t>
        </is>
      </c>
      <c r="E243" t="inlineStr">
        <is>
          <t>TORSÅS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14839-2020</t>
        </is>
      </c>
      <c r="B244" s="1" t="n">
        <v>43909</v>
      </c>
      <c r="C244" s="1" t="n">
        <v>45692</v>
      </c>
      <c r="D244" t="inlineStr">
        <is>
          <t>KALMAR LÄN</t>
        </is>
      </c>
      <c r="E244" t="inlineStr">
        <is>
          <t>TORSÅS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14844-2020</t>
        </is>
      </c>
      <c r="B245" s="1" t="n">
        <v>43909</v>
      </c>
      <c r="C245" s="1" t="n">
        <v>45692</v>
      </c>
      <c r="D245" t="inlineStr">
        <is>
          <t>KALMAR LÄN</t>
        </is>
      </c>
      <c r="E245" t="inlineStr">
        <is>
          <t>TORSÅS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15135-2020</t>
        </is>
      </c>
      <c r="B246" s="1" t="n">
        <v>43911</v>
      </c>
      <c r="C246" s="1" t="n">
        <v>45692</v>
      </c>
      <c r="D246" t="inlineStr">
        <is>
          <t>KALMAR LÄN</t>
        </is>
      </c>
      <c r="E246" t="inlineStr">
        <is>
          <t>TORSÅS</t>
        </is>
      </c>
      <c r="G246" t="n">
        <v>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16275-2020</t>
        </is>
      </c>
      <c r="B247" s="1" t="n">
        <v>43917</v>
      </c>
      <c r="C247" s="1" t="n">
        <v>45692</v>
      </c>
      <c r="D247" t="inlineStr">
        <is>
          <t>KALMAR LÄN</t>
        </is>
      </c>
      <c r="E247" t="inlineStr">
        <is>
          <t>TORSÅS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16747-2020</t>
        </is>
      </c>
      <c r="B248" s="1" t="n">
        <v>43920</v>
      </c>
      <c r="C248" s="1" t="n">
        <v>45692</v>
      </c>
      <c r="D248" t="inlineStr">
        <is>
          <t>KALMAR LÄN</t>
        </is>
      </c>
      <c r="E248" t="inlineStr">
        <is>
          <t>TORSÅS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16752-2020</t>
        </is>
      </c>
      <c r="B249" s="1" t="n">
        <v>43920</v>
      </c>
      <c r="C249" s="1" t="n">
        <v>45692</v>
      </c>
      <c r="D249" t="inlineStr">
        <is>
          <t>KALMAR LÄN</t>
        </is>
      </c>
      <c r="E249" t="inlineStr">
        <is>
          <t>TORSÅS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17338-2020</t>
        </is>
      </c>
      <c r="B250" s="1" t="n">
        <v>43922</v>
      </c>
      <c r="C250" s="1" t="n">
        <v>45692</v>
      </c>
      <c r="D250" t="inlineStr">
        <is>
          <t>KALMAR LÄN</t>
        </is>
      </c>
      <c r="E250" t="inlineStr">
        <is>
          <t>TORSÅS</t>
        </is>
      </c>
      <c r="G250" t="n">
        <v>4.6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17394-2020</t>
        </is>
      </c>
      <c r="B251" s="1" t="n">
        <v>43923</v>
      </c>
      <c r="C251" s="1" t="n">
        <v>45692</v>
      </c>
      <c r="D251" t="inlineStr">
        <is>
          <t>KALMAR LÄN</t>
        </is>
      </c>
      <c r="E251" t="inlineStr">
        <is>
          <t>TORSÅS</t>
        </is>
      </c>
      <c r="G251" t="n">
        <v>5.4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18413-2020</t>
        </is>
      </c>
      <c r="B252" s="1" t="n">
        <v>43928</v>
      </c>
      <c r="C252" s="1" t="n">
        <v>45692</v>
      </c>
      <c r="D252" t="inlineStr">
        <is>
          <t>KALMAR LÄN</t>
        </is>
      </c>
      <c r="E252" t="inlineStr">
        <is>
          <t>TORSÅS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18416-2020</t>
        </is>
      </c>
      <c r="B253" s="1" t="n">
        <v>43928</v>
      </c>
      <c r="C253" s="1" t="n">
        <v>45692</v>
      </c>
      <c r="D253" t="inlineStr">
        <is>
          <t>KALMAR LÄN</t>
        </is>
      </c>
      <c r="E253" t="inlineStr">
        <is>
          <t>TORSÅS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18594-2020</t>
        </is>
      </c>
      <c r="B254" s="1" t="n">
        <v>43929</v>
      </c>
      <c r="C254" s="1" t="n">
        <v>45692</v>
      </c>
      <c r="D254" t="inlineStr">
        <is>
          <t>KALMAR LÄN</t>
        </is>
      </c>
      <c r="E254" t="inlineStr">
        <is>
          <t>TORSÅS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19047-2020</t>
        </is>
      </c>
      <c r="B255" s="1" t="n">
        <v>43936</v>
      </c>
      <c r="C255" s="1" t="n">
        <v>45692</v>
      </c>
      <c r="D255" t="inlineStr">
        <is>
          <t>KALMAR LÄN</t>
        </is>
      </c>
      <c r="E255" t="inlineStr">
        <is>
          <t>TORSÅS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19041-2020</t>
        </is>
      </c>
      <c r="B256" s="1" t="n">
        <v>43936</v>
      </c>
      <c r="C256" s="1" t="n">
        <v>45692</v>
      </c>
      <c r="D256" t="inlineStr">
        <is>
          <t>KALMAR LÄN</t>
        </is>
      </c>
      <c r="E256" t="inlineStr">
        <is>
          <t>TORSÅS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19763-2020</t>
        </is>
      </c>
      <c r="B257" s="1" t="n">
        <v>43942</v>
      </c>
      <c r="C257" s="1" t="n">
        <v>45692</v>
      </c>
      <c r="D257" t="inlineStr">
        <is>
          <t>KALMAR LÄN</t>
        </is>
      </c>
      <c r="E257" t="inlineStr">
        <is>
          <t>TORSÅS</t>
        </is>
      </c>
      <c r="G257" t="n">
        <v>5.9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20345-2020</t>
        </is>
      </c>
      <c r="B258" s="1" t="n">
        <v>43944</v>
      </c>
      <c r="C258" s="1" t="n">
        <v>45692</v>
      </c>
      <c r="D258" t="inlineStr">
        <is>
          <t>KALMAR LÄN</t>
        </is>
      </c>
      <c r="E258" t="inlineStr">
        <is>
          <t>TORSÅS</t>
        </is>
      </c>
      <c r="G258" t="n">
        <v>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20231-2020</t>
        </is>
      </c>
      <c r="B259" s="1" t="n">
        <v>43944</v>
      </c>
      <c r="C259" s="1" t="n">
        <v>45692</v>
      </c>
      <c r="D259" t="inlineStr">
        <is>
          <t>KALMAR LÄN</t>
        </is>
      </c>
      <c r="E259" t="inlineStr">
        <is>
          <t>TORSÅS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21444-2020</t>
        </is>
      </c>
      <c r="B260" s="1" t="n">
        <v>43956</v>
      </c>
      <c r="C260" s="1" t="n">
        <v>45692</v>
      </c>
      <c r="D260" t="inlineStr">
        <is>
          <t>KALMAR LÄN</t>
        </is>
      </c>
      <c r="E260" t="inlineStr">
        <is>
          <t>TORSÅS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21438-2020</t>
        </is>
      </c>
      <c r="B261" s="1" t="n">
        <v>43956</v>
      </c>
      <c r="C261" s="1" t="n">
        <v>45692</v>
      </c>
      <c r="D261" t="inlineStr">
        <is>
          <t>KALMAR LÄN</t>
        </is>
      </c>
      <c r="E261" t="inlineStr">
        <is>
          <t>TORSÅS</t>
        </is>
      </c>
      <c r="G261" t="n">
        <v>10.5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26649-2020</t>
        </is>
      </c>
      <c r="B262" s="1" t="n">
        <v>43988</v>
      </c>
      <c r="C262" s="1" t="n">
        <v>45692</v>
      </c>
      <c r="D262" t="inlineStr">
        <is>
          <t>KALMAR LÄN</t>
        </is>
      </c>
      <c r="E262" t="inlineStr">
        <is>
          <t>TORSÅS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26650-2020</t>
        </is>
      </c>
      <c r="B263" s="1" t="n">
        <v>43988</v>
      </c>
      <c r="C263" s="1" t="n">
        <v>45692</v>
      </c>
      <c r="D263" t="inlineStr">
        <is>
          <t>KALMAR LÄN</t>
        </is>
      </c>
      <c r="E263" t="inlineStr">
        <is>
          <t>TORSÅS</t>
        </is>
      </c>
      <c r="G263" t="n">
        <v>4.3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31147-2020</t>
        </is>
      </c>
      <c r="B264" s="1" t="n">
        <v>44012</v>
      </c>
      <c r="C264" s="1" t="n">
        <v>45692</v>
      </c>
      <c r="D264" t="inlineStr">
        <is>
          <t>KALMAR LÄN</t>
        </is>
      </c>
      <c r="E264" t="inlineStr">
        <is>
          <t>TORSÅS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31500-2020</t>
        </is>
      </c>
      <c r="B265" s="1" t="n">
        <v>44013</v>
      </c>
      <c r="C265" s="1" t="n">
        <v>45692</v>
      </c>
      <c r="D265" t="inlineStr">
        <is>
          <t>KALMAR LÄN</t>
        </is>
      </c>
      <c r="E265" t="inlineStr">
        <is>
          <t>TORSÅS</t>
        </is>
      </c>
      <c r="G265" t="n">
        <v>0.2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31494-2020</t>
        </is>
      </c>
      <c r="B266" s="1" t="n">
        <v>44013</v>
      </c>
      <c r="C266" s="1" t="n">
        <v>45692</v>
      </c>
      <c r="D266" t="inlineStr">
        <is>
          <t>KALMAR LÄN</t>
        </is>
      </c>
      <c r="E266" t="inlineStr">
        <is>
          <t>TORSÅS</t>
        </is>
      </c>
      <c r="G266" t="n">
        <v>4.8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32588-2020</t>
        </is>
      </c>
      <c r="B267" s="1" t="n">
        <v>44019</v>
      </c>
      <c r="C267" s="1" t="n">
        <v>45692</v>
      </c>
      <c r="D267" t="inlineStr">
        <is>
          <t>KALMAR LÄN</t>
        </is>
      </c>
      <c r="E267" t="inlineStr">
        <is>
          <t>TORSÅS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32587-2020</t>
        </is>
      </c>
      <c r="B268" s="1" t="n">
        <v>44019</v>
      </c>
      <c r="C268" s="1" t="n">
        <v>45692</v>
      </c>
      <c r="D268" t="inlineStr">
        <is>
          <t>KALMAR LÄN</t>
        </is>
      </c>
      <c r="E268" t="inlineStr">
        <is>
          <t>TORSÅS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32660-2020</t>
        </is>
      </c>
      <c r="B269" s="1" t="n">
        <v>44019</v>
      </c>
      <c r="C269" s="1" t="n">
        <v>45692</v>
      </c>
      <c r="D269" t="inlineStr">
        <is>
          <t>KALMAR LÄN</t>
        </is>
      </c>
      <c r="E269" t="inlineStr">
        <is>
          <t>TORSÅS</t>
        </is>
      </c>
      <c r="G269" t="n">
        <v>2.7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33499-2020</t>
        </is>
      </c>
      <c r="B270" s="1" t="n">
        <v>44025</v>
      </c>
      <c r="C270" s="1" t="n">
        <v>45692</v>
      </c>
      <c r="D270" t="inlineStr">
        <is>
          <t>KALMAR LÄN</t>
        </is>
      </c>
      <c r="E270" t="inlineStr">
        <is>
          <t>TORSÅS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33497-2020</t>
        </is>
      </c>
      <c r="B271" s="1" t="n">
        <v>44025</v>
      </c>
      <c r="C271" s="1" t="n">
        <v>45692</v>
      </c>
      <c r="D271" t="inlineStr">
        <is>
          <t>KALMAR LÄN</t>
        </is>
      </c>
      <c r="E271" t="inlineStr">
        <is>
          <t>TORSÅS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34679-2020</t>
        </is>
      </c>
      <c r="B272" s="1" t="n">
        <v>44035</v>
      </c>
      <c r="C272" s="1" t="n">
        <v>45692</v>
      </c>
      <c r="D272" t="inlineStr">
        <is>
          <t>KALMAR LÄN</t>
        </is>
      </c>
      <c r="E272" t="inlineStr">
        <is>
          <t>TORSÅS</t>
        </is>
      </c>
      <c r="F272" t="inlineStr">
        <is>
          <t>Övriga Aktiebolag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35353-2020</t>
        </is>
      </c>
      <c r="B273" s="1" t="n">
        <v>44041</v>
      </c>
      <c r="C273" s="1" t="n">
        <v>45692</v>
      </c>
      <c r="D273" t="inlineStr">
        <is>
          <t>KALMAR LÄN</t>
        </is>
      </c>
      <c r="E273" t="inlineStr">
        <is>
          <t>TORSÅS</t>
        </is>
      </c>
      <c r="G273" t="n">
        <v>1.6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35654-2020</t>
        </is>
      </c>
      <c r="B274" s="1" t="n">
        <v>44046</v>
      </c>
      <c r="C274" s="1" t="n">
        <v>45692</v>
      </c>
      <c r="D274" t="inlineStr">
        <is>
          <t>KALMAR LÄN</t>
        </is>
      </c>
      <c r="E274" t="inlineStr">
        <is>
          <t>TORSÅS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37340-2020</t>
        </is>
      </c>
      <c r="B275" s="1" t="n">
        <v>44055</v>
      </c>
      <c r="C275" s="1" t="n">
        <v>45692</v>
      </c>
      <c r="D275" t="inlineStr">
        <is>
          <t>KALMAR LÄN</t>
        </is>
      </c>
      <c r="E275" t="inlineStr">
        <is>
          <t>TORSÅS</t>
        </is>
      </c>
      <c r="G275" t="n">
        <v>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37350-2020</t>
        </is>
      </c>
      <c r="B276" s="1" t="n">
        <v>44055</v>
      </c>
      <c r="C276" s="1" t="n">
        <v>45692</v>
      </c>
      <c r="D276" t="inlineStr">
        <is>
          <t>KALMAR LÄN</t>
        </is>
      </c>
      <c r="E276" t="inlineStr">
        <is>
          <t>TORSÅS</t>
        </is>
      </c>
      <c r="G276" t="n">
        <v>11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  <c r="U276">
        <f>HYPERLINK("https://klasma.github.io/Logging_0834/knärot/A 37350-2020 karta knärot.png", "A 37350-2020")</f>
        <v/>
      </c>
      <c r="V276">
        <f>HYPERLINK("https://klasma.github.io/Logging_0834/klagomål/A 37350-2020 FSC-klagomål.docx", "A 37350-2020")</f>
        <v/>
      </c>
      <c r="W276">
        <f>HYPERLINK("https://klasma.github.io/Logging_0834/klagomålsmail/A 37350-2020 FSC-klagomål mail.docx", "A 37350-2020")</f>
        <v/>
      </c>
      <c r="X276">
        <f>HYPERLINK("https://klasma.github.io/Logging_0834/tillsyn/A 37350-2020 tillsynsbegäran.docx", "A 37350-2020")</f>
        <v/>
      </c>
      <c r="Y276">
        <f>HYPERLINK("https://klasma.github.io/Logging_0834/tillsynsmail/A 37350-2020 tillsynsbegäran mail.docx", "A 37350-2020")</f>
        <v/>
      </c>
    </row>
    <row r="277" ht="15" customHeight="1">
      <c r="A277" t="inlineStr">
        <is>
          <t>A 37361-2020</t>
        </is>
      </c>
      <c r="B277" s="1" t="n">
        <v>44055</v>
      </c>
      <c r="C277" s="1" t="n">
        <v>45692</v>
      </c>
      <c r="D277" t="inlineStr">
        <is>
          <t>KALMAR LÄN</t>
        </is>
      </c>
      <c r="E277" t="inlineStr">
        <is>
          <t>TORSÅS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37357-2020</t>
        </is>
      </c>
      <c r="B278" s="1" t="n">
        <v>44055</v>
      </c>
      <c r="C278" s="1" t="n">
        <v>45692</v>
      </c>
      <c r="D278" t="inlineStr">
        <is>
          <t>KALMAR LÄN</t>
        </is>
      </c>
      <c r="E278" t="inlineStr">
        <is>
          <t>TORSÅS</t>
        </is>
      </c>
      <c r="G278" t="n">
        <v>2.3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37925-2020</t>
        </is>
      </c>
      <c r="B279" s="1" t="n">
        <v>44057</v>
      </c>
      <c r="C279" s="1" t="n">
        <v>45692</v>
      </c>
      <c r="D279" t="inlineStr">
        <is>
          <t>KALMAR LÄN</t>
        </is>
      </c>
      <c r="E279" t="inlineStr">
        <is>
          <t>TORSÅS</t>
        </is>
      </c>
      <c r="G279" t="n">
        <v>3.2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37931-2020</t>
        </is>
      </c>
      <c r="B280" s="1" t="n">
        <v>44057</v>
      </c>
      <c r="C280" s="1" t="n">
        <v>45692</v>
      </c>
      <c r="D280" t="inlineStr">
        <is>
          <t>KALMAR LÄN</t>
        </is>
      </c>
      <c r="E280" t="inlineStr">
        <is>
          <t>TORSÅS</t>
        </is>
      </c>
      <c r="G280" t="n">
        <v>23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37924-2020</t>
        </is>
      </c>
      <c r="B281" s="1" t="n">
        <v>44057</v>
      </c>
      <c r="C281" s="1" t="n">
        <v>45692</v>
      </c>
      <c r="D281" t="inlineStr">
        <is>
          <t>KALMAR LÄN</t>
        </is>
      </c>
      <c r="E281" t="inlineStr">
        <is>
          <t>TORSÅS</t>
        </is>
      </c>
      <c r="G281" t="n">
        <v>6.9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37926-2020</t>
        </is>
      </c>
      <c r="B282" s="1" t="n">
        <v>44057</v>
      </c>
      <c r="C282" s="1" t="n">
        <v>45692</v>
      </c>
      <c r="D282" t="inlineStr">
        <is>
          <t>KALMAR LÄN</t>
        </is>
      </c>
      <c r="E282" t="inlineStr">
        <is>
          <t>TORSÅS</t>
        </is>
      </c>
      <c r="G282" t="n">
        <v>3.6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37922-2020</t>
        </is>
      </c>
      <c r="B283" s="1" t="n">
        <v>44057</v>
      </c>
      <c r="C283" s="1" t="n">
        <v>45692</v>
      </c>
      <c r="D283" t="inlineStr">
        <is>
          <t>KALMAR LÄN</t>
        </is>
      </c>
      <c r="E283" t="inlineStr">
        <is>
          <t>TORSÅS</t>
        </is>
      </c>
      <c r="G283" t="n">
        <v>17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37927-2020</t>
        </is>
      </c>
      <c r="B284" s="1" t="n">
        <v>44057</v>
      </c>
      <c r="C284" s="1" t="n">
        <v>45692</v>
      </c>
      <c r="D284" t="inlineStr">
        <is>
          <t>KALMAR LÄN</t>
        </is>
      </c>
      <c r="E284" t="inlineStr">
        <is>
          <t>TORSÅS</t>
        </is>
      </c>
      <c r="G284" t="n">
        <v>10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38052-2020</t>
        </is>
      </c>
      <c r="B285" s="1" t="n">
        <v>44057</v>
      </c>
      <c r="C285" s="1" t="n">
        <v>45692</v>
      </c>
      <c r="D285" t="inlineStr">
        <is>
          <t>KALMAR LÄN</t>
        </is>
      </c>
      <c r="E285" t="inlineStr">
        <is>
          <t>TORSÅS</t>
        </is>
      </c>
      <c r="G285" t="n">
        <v>2.9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38051-2020</t>
        </is>
      </c>
      <c r="B286" s="1" t="n">
        <v>44057</v>
      </c>
      <c r="C286" s="1" t="n">
        <v>45692</v>
      </c>
      <c r="D286" t="inlineStr">
        <is>
          <t>KALMAR LÄN</t>
        </is>
      </c>
      <c r="E286" t="inlineStr">
        <is>
          <t>TORSÅS</t>
        </is>
      </c>
      <c r="G286" t="n">
        <v>2.8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39108-2020</t>
        </is>
      </c>
      <c r="B287" s="1" t="n">
        <v>44063</v>
      </c>
      <c r="C287" s="1" t="n">
        <v>45692</v>
      </c>
      <c r="D287" t="inlineStr">
        <is>
          <t>KALMAR LÄN</t>
        </is>
      </c>
      <c r="E287" t="inlineStr">
        <is>
          <t>TORSÅS</t>
        </is>
      </c>
      <c r="F287" t="inlineStr">
        <is>
          <t>Övriga Aktiebolag</t>
        </is>
      </c>
      <c r="G287" t="n">
        <v>1.6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40915-2020</t>
        </is>
      </c>
      <c r="B288" s="1" t="n">
        <v>44068</v>
      </c>
      <c r="C288" s="1" t="n">
        <v>45692</v>
      </c>
      <c r="D288" t="inlineStr">
        <is>
          <t>KALMAR LÄN</t>
        </is>
      </c>
      <c r="E288" t="inlineStr">
        <is>
          <t>TORSÅS</t>
        </is>
      </c>
      <c r="G288" t="n">
        <v>1.8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41844-2020</t>
        </is>
      </c>
      <c r="B289" s="1" t="n">
        <v>44074</v>
      </c>
      <c r="C289" s="1" t="n">
        <v>45692</v>
      </c>
      <c r="D289" t="inlineStr">
        <is>
          <t>KALMAR LÄN</t>
        </is>
      </c>
      <c r="E289" t="inlineStr">
        <is>
          <t>TORSÅS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42733-2020</t>
        </is>
      </c>
      <c r="B290" s="1" t="n">
        <v>44077</v>
      </c>
      <c r="C290" s="1" t="n">
        <v>45692</v>
      </c>
      <c r="D290" t="inlineStr">
        <is>
          <t>KALMAR LÄN</t>
        </is>
      </c>
      <c r="E290" t="inlineStr">
        <is>
          <t>TORSÅS</t>
        </is>
      </c>
      <c r="G290" t="n">
        <v>5.5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43204-2020</t>
        </is>
      </c>
      <c r="B291" s="1" t="n">
        <v>44078</v>
      </c>
      <c r="C291" s="1" t="n">
        <v>45692</v>
      </c>
      <c r="D291" t="inlineStr">
        <is>
          <t>KALMAR LÄN</t>
        </is>
      </c>
      <c r="E291" t="inlineStr">
        <is>
          <t>TORSÅS</t>
        </is>
      </c>
      <c r="G291" t="n">
        <v>2.7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43206-2020</t>
        </is>
      </c>
      <c r="B292" s="1" t="n">
        <v>44078</v>
      </c>
      <c r="C292" s="1" t="n">
        <v>45692</v>
      </c>
      <c r="D292" t="inlineStr">
        <is>
          <t>KALMAR LÄN</t>
        </is>
      </c>
      <c r="E292" t="inlineStr">
        <is>
          <t>TORSÅS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46438-2020</t>
        </is>
      </c>
      <c r="B293" s="1" t="n">
        <v>44095</v>
      </c>
      <c r="C293" s="1" t="n">
        <v>45692</v>
      </c>
      <c r="D293" t="inlineStr">
        <is>
          <t>KALMAR LÄN</t>
        </is>
      </c>
      <c r="E293" t="inlineStr">
        <is>
          <t>TORSÅS</t>
        </is>
      </c>
      <c r="G293" t="n">
        <v>1.9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46553-2020</t>
        </is>
      </c>
      <c r="B294" s="1" t="n">
        <v>44095</v>
      </c>
      <c r="C294" s="1" t="n">
        <v>45692</v>
      </c>
      <c r="D294" t="inlineStr">
        <is>
          <t>KALMAR LÄN</t>
        </is>
      </c>
      <c r="E294" t="inlineStr">
        <is>
          <t>TORSÅS</t>
        </is>
      </c>
      <c r="G294" t="n">
        <v>1.9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47096-2020</t>
        </is>
      </c>
      <c r="B295" s="1" t="n">
        <v>44096</v>
      </c>
      <c r="C295" s="1" t="n">
        <v>45692</v>
      </c>
      <c r="D295" t="inlineStr">
        <is>
          <t>KALMAR LÄN</t>
        </is>
      </c>
      <c r="E295" t="inlineStr">
        <is>
          <t>TORSÅS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47535-2020</t>
        </is>
      </c>
      <c r="B296" s="1" t="n">
        <v>44098</v>
      </c>
      <c r="C296" s="1" t="n">
        <v>45692</v>
      </c>
      <c r="D296" t="inlineStr">
        <is>
          <t>KALMAR LÄN</t>
        </is>
      </c>
      <c r="E296" t="inlineStr">
        <is>
          <t>TORSÅS</t>
        </is>
      </c>
      <c r="G296" t="n">
        <v>10.5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48130-2020</t>
        </is>
      </c>
      <c r="B297" s="1" t="n">
        <v>44102</v>
      </c>
      <c r="C297" s="1" t="n">
        <v>45692</v>
      </c>
      <c r="D297" t="inlineStr">
        <is>
          <t>KALMAR LÄN</t>
        </is>
      </c>
      <c r="E297" t="inlineStr">
        <is>
          <t>TORSÅS</t>
        </is>
      </c>
      <c r="G297" t="n">
        <v>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48876-2020</t>
        </is>
      </c>
      <c r="B298" s="1" t="n">
        <v>44104</v>
      </c>
      <c r="C298" s="1" t="n">
        <v>45692</v>
      </c>
      <c r="D298" t="inlineStr">
        <is>
          <t>KALMAR LÄN</t>
        </is>
      </c>
      <c r="E298" t="inlineStr">
        <is>
          <t>TORSÅS</t>
        </is>
      </c>
      <c r="G298" t="n">
        <v>2.3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49871-2020</t>
        </is>
      </c>
      <c r="B299" s="1" t="n">
        <v>44107</v>
      </c>
      <c r="C299" s="1" t="n">
        <v>45692</v>
      </c>
      <c r="D299" t="inlineStr">
        <is>
          <t>KALMAR LÄN</t>
        </is>
      </c>
      <c r="E299" t="inlineStr">
        <is>
          <t>TORSÅS</t>
        </is>
      </c>
      <c r="G299" t="n">
        <v>5.3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49869-2020</t>
        </is>
      </c>
      <c r="B300" s="1" t="n">
        <v>44107</v>
      </c>
      <c r="C300" s="1" t="n">
        <v>45692</v>
      </c>
      <c r="D300" t="inlineStr">
        <is>
          <t>KALMAR LÄN</t>
        </is>
      </c>
      <c r="E300" t="inlineStr">
        <is>
          <t>TORSÅS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50004-2020</t>
        </is>
      </c>
      <c r="B301" s="1" t="n">
        <v>44109</v>
      </c>
      <c r="C301" s="1" t="n">
        <v>45692</v>
      </c>
      <c r="D301" t="inlineStr">
        <is>
          <t>KALMAR LÄN</t>
        </is>
      </c>
      <c r="E301" t="inlineStr">
        <is>
          <t>TORSÅS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50447-2020</t>
        </is>
      </c>
      <c r="B302" s="1" t="n">
        <v>44110</v>
      </c>
      <c r="C302" s="1" t="n">
        <v>45692</v>
      </c>
      <c r="D302" t="inlineStr">
        <is>
          <t>KALMAR LÄN</t>
        </is>
      </c>
      <c r="E302" t="inlineStr">
        <is>
          <t>TORSÅS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50552-2020</t>
        </is>
      </c>
      <c r="B303" s="1" t="n">
        <v>44110</v>
      </c>
      <c r="C303" s="1" t="n">
        <v>45692</v>
      </c>
      <c r="D303" t="inlineStr">
        <is>
          <t>KALMAR LÄN</t>
        </is>
      </c>
      <c r="E303" t="inlineStr">
        <is>
          <t>TORSÅS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50310-2020</t>
        </is>
      </c>
      <c r="B304" s="1" t="n">
        <v>44110</v>
      </c>
      <c r="C304" s="1" t="n">
        <v>45692</v>
      </c>
      <c r="D304" t="inlineStr">
        <is>
          <t>KALMAR LÄN</t>
        </is>
      </c>
      <c r="E304" t="inlineStr">
        <is>
          <t>TORSÅS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50711-2020</t>
        </is>
      </c>
      <c r="B305" s="1" t="n">
        <v>44111</v>
      </c>
      <c r="C305" s="1" t="n">
        <v>45692</v>
      </c>
      <c r="D305" t="inlineStr">
        <is>
          <t>KALMAR LÄN</t>
        </is>
      </c>
      <c r="E305" t="inlineStr">
        <is>
          <t>TORSÅS</t>
        </is>
      </c>
      <c r="G305" t="n">
        <v>10.9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50718-2020</t>
        </is>
      </c>
      <c r="B306" s="1" t="n">
        <v>44111</v>
      </c>
      <c r="C306" s="1" t="n">
        <v>45692</v>
      </c>
      <c r="D306" t="inlineStr">
        <is>
          <t>KALMAR LÄN</t>
        </is>
      </c>
      <c r="E306" t="inlineStr">
        <is>
          <t>TORSÅS</t>
        </is>
      </c>
      <c r="G306" t="n">
        <v>4.6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50727-2020</t>
        </is>
      </c>
      <c r="B307" s="1" t="n">
        <v>44111</v>
      </c>
      <c r="C307" s="1" t="n">
        <v>45692</v>
      </c>
      <c r="D307" t="inlineStr">
        <is>
          <t>KALMAR LÄN</t>
        </is>
      </c>
      <c r="E307" t="inlineStr">
        <is>
          <t>TORSÅS</t>
        </is>
      </c>
      <c r="G307" t="n">
        <v>2.7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52614-2020</t>
        </is>
      </c>
      <c r="B308" s="1" t="n">
        <v>44118</v>
      </c>
      <c r="C308" s="1" t="n">
        <v>45692</v>
      </c>
      <c r="D308" t="inlineStr">
        <is>
          <t>KALMAR LÄN</t>
        </is>
      </c>
      <c r="E308" t="inlineStr">
        <is>
          <t>TORSÅS</t>
        </is>
      </c>
      <c r="G308" t="n">
        <v>3.1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52613-2020</t>
        </is>
      </c>
      <c r="B309" s="1" t="n">
        <v>44118</v>
      </c>
      <c r="C309" s="1" t="n">
        <v>45692</v>
      </c>
      <c r="D309" t="inlineStr">
        <is>
          <t>KALMAR LÄN</t>
        </is>
      </c>
      <c r="E309" t="inlineStr">
        <is>
          <t>TORSÅS</t>
        </is>
      </c>
      <c r="G309" t="n">
        <v>8.5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55177-2020</t>
        </is>
      </c>
      <c r="B310" s="1" t="n">
        <v>44130</v>
      </c>
      <c r="C310" s="1" t="n">
        <v>45692</v>
      </c>
      <c r="D310" t="inlineStr">
        <is>
          <t>KALMAR LÄN</t>
        </is>
      </c>
      <c r="E310" t="inlineStr">
        <is>
          <t>TORSÅS</t>
        </is>
      </c>
      <c r="G310" t="n">
        <v>3.6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55537-2020</t>
        </is>
      </c>
      <c r="B311" s="1" t="n">
        <v>44131</v>
      </c>
      <c r="C311" s="1" t="n">
        <v>45692</v>
      </c>
      <c r="D311" t="inlineStr">
        <is>
          <t>KALMAR LÄN</t>
        </is>
      </c>
      <c r="E311" t="inlineStr">
        <is>
          <t>TORSÅS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56309-2020</t>
        </is>
      </c>
      <c r="B312" s="1" t="n">
        <v>44134</v>
      </c>
      <c r="C312" s="1" t="n">
        <v>45692</v>
      </c>
      <c r="D312" t="inlineStr">
        <is>
          <t>KALMAR LÄN</t>
        </is>
      </c>
      <c r="E312" t="inlineStr">
        <is>
          <t>TORSÅS</t>
        </is>
      </c>
      <c r="G312" t="n">
        <v>10.3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56307-2020</t>
        </is>
      </c>
      <c r="B313" s="1" t="n">
        <v>44134</v>
      </c>
      <c r="C313" s="1" t="n">
        <v>45692</v>
      </c>
      <c r="D313" t="inlineStr">
        <is>
          <t>KALMAR LÄN</t>
        </is>
      </c>
      <c r="E313" t="inlineStr">
        <is>
          <t>TORSÅS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56308-2020</t>
        </is>
      </c>
      <c r="B314" s="1" t="n">
        <v>44134</v>
      </c>
      <c r="C314" s="1" t="n">
        <v>45692</v>
      </c>
      <c r="D314" t="inlineStr">
        <is>
          <t>KALMAR LÄN</t>
        </is>
      </c>
      <c r="E314" t="inlineStr">
        <is>
          <t>TORSÅS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56831-2020</t>
        </is>
      </c>
      <c r="B315" s="1" t="n">
        <v>44138</v>
      </c>
      <c r="C315" s="1" t="n">
        <v>45692</v>
      </c>
      <c r="D315" t="inlineStr">
        <is>
          <t>KALMAR LÄN</t>
        </is>
      </c>
      <c r="E315" t="inlineStr">
        <is>
          <t>TORSÅS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57021-2020</t>
        </is>
      </c>
      <c r="B316" s="1" t="n">
        <v>44138</v>
      </c>
      <c r="C316" s="1" t="n">
        <v>45692</v>
      </c>
      <c r="D316" t="inlineStr">
        <is>
          <t>KALMAR LÄN</t>
        </is>
      </c>
      <c r="E316" t="inlineStr">
        <is>
          <t>TORSÅS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57488-2020</t>
        </is>
      </c>
      <c r="B317" s="1" t="n">
        <v>44140</v>
      </c>
      <c r="C317" s="1" t="n">
        <v>45692</v>
      </c>
      <c r="D317" t="inlineStr">
        <is>
          <t>KALMAR LÄN</t>
        </is>
      </c>
      <c r="E317" t="inlineStr">
        <is>
          <t>TORSÅS</t>
        </is>
      </c>
      <c r="G317" t="n">
        <v>2.9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58235-2020</t>
        </is>
      </c>
      <c r="B318" s="1" t="n">
        <v>44144</v>
      </c>
      <c r="C318" s="1" t="n">
        <v>45692</v>
      </c>
      <c r="D318" t="inlineStr">
        <is>
          <t>KALMAR LÄN</t>
        </is>
      </c>
      <c r="E318" t="inlineStr">
        <is>
          <t>TORSÅS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58708-2020</t>
        </is>
      </c>
      <c r="B319" s="1" t="n">
        <v>44146</v>
      </c>
      <c r="C319" s="1" t="n">
        <v>45692</v>
      </c>
      <c r="D319" t="inlineStr">
        <is>
          <t>KALMAR LÄN</t>
        </is>
      </c>
      <c r="E319" t="inlineStr">
        <is>
          <t>TORSÅS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58941-2020</t>
        </is>
      </c>
      <c r="B320" s="1" t="n">
        <v>44146</v>
      </c>
      <c r="C320" s="1" t="n">
        <v>45692</v>
      </c>
      <c r="D320" t="inlineStr">
        <is>
          <t>KALMAR LÄN</t>
        </is>
      </c>
      <c r="E320" t="inlineStr">
        <is>
          <t>TORSÅS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58954-2020</t>
        </is>
      </c>
      <c r="B321" s="1" t="n">
        <v>44146</v>
      </c>
      <c r="C321" s="1" t="n">
        <v>45692</v>
      </c>
      <c r="D321" t="inlineStr">
        <is>
          <t>KALMAR LÄN</t>
        </is>
      </c>
      <c r="E321" t="inlineStr">
        <is>
          <t>TORSÅS</t>
        </is>
      </c>
      <c r="G321" t="n">
        <v>2.8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59566-2020</t>
        </is>
      </c>
      <c r="B322" s="1" t="n">
        <v>44148</v>
      </c>
      <c r="C322" s="1" t="n">
        <v>45692</v>
      </c>
      <c r="D322" t="inlineStr">
        <is>
          <t>KALMAR LÄN</t>
        </is>
      </c>
      <c r="E322" t="inlineStr">
        <is>
          <t>TORSÅS</t>
        </is>
      </c>
      <c r="G322" t="n">
        <v>0.4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59648-2020</t>
        </is>
      </c>
      <c r="B323" s="1" t="n">
        <v>44150</v>
      </c>
      <c r="C323" s="1" t="n">
        <v>45692</v>
      </c>
      <c r="D323" t="inlineStr">
        <is>
          <t>KALMAR LÄN</t>
        </is>
      </c>
      <c r="E323" t="inlineStr">
        <is>
          <t>TORSÅS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60366-2020</t>
        </is>
      </c>
      <c r="B324" s="1" t="n">
        <v>44152</v>
      </c>
      <c r="C324" s="1" t="n">
        <v>45692</v>
      </c>
      <c r="D324" t="inlineStr">
        <is>
          <t>KALMAR LÄN</t>
        </is>
      </c>
      <c r="E324" t="inlineStr">
        <is>
          <t>TORSÅS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61257-2020</t>
        </is>
      </c>
      <c r="B325" s="1" t="n">
        <v>44155</v>
      </c>
      <c r="C325" s="1" t="n">
        <v>45692</v>
      </c>
      <c r="D325" t="inlineStr">
        <is>
          <t>KALMAR LÄN</t>
        </is>
      </c>
      <c r="E325" t="inlineStr">
        <is>
          <t>TORSÅS</t>
        </is>
      </c>
      <c r="F325" t="inlineStr">
        <is>
          <t>Övriga Aktiebolag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61372-2020</t>
        </is>
      </c>
      <c r="B326" s="1" t="n">
        <v>44155</v>
      </c>
      <c r="C326" s="1" t="n">
        <v>45692</v>
      </c>
      <c r="D326" t="inlineStr">
        <is>
          <t>KALMAR LÄN</t>
        </is>
      </c>
      <c r="E326" t="inlineStr">
        <is>
          <t>TORSÅS</t>
        </is>
      </c>
      <c r="F326" t="inlineStr">
        <is>
          <t>Övriga Aktiebolag</t>
        </is>
      </c>
      <c r="G326" t="n">
        <v>2.5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64031-2020</t>
        </is>
      </c>
      <c r="B327" s="1" t="n">
        <v>44165</v>
      </c>
      <c r="C327" s="1" t="n">
        <v>45692</v>
      </c>
      <c r="D327" t="inlineStr">
        <is>
          <t>KALMAR LÄN</t>
        </is>
      </c>
      <c r="E327" t="inlineStr">
        <is>
          <t>TORSÅS</t>
        </is>
      </c>
      <c r="G327" t="n">
        <v>4.1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64299-2020</t>
        </is>
      </c>
      <c r="B328" s="1" t="n">
        <v>44168</v>
      </c>
      <c r="C328" s="1" t="n">
        <v>45692</v>
      </c>
      <c r="D328" t="inlineStr">
        <is>
          <t>KALMAR LÄN</t>
        </is>
      </c>
      <c r="E328" t="inlineStr">
        <is>
          <t>TORSÅS</t>
        </is>
      </c>
      <c r="G328" t="n">
        <v>5.1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64919-2020</t>
        </is>
      </c>
      <c r="B329" s="1" t="n">
        <v>44172</v>
      </c>
      <c r="C329" s="1" t="n">
        <v>45692</v>
      </c>
      <c r="D329" t="inlineStr">
        <is>
          <t>KALMAR LÄN</t>
        </is>
      </c>
      <c r="E329" t="inlineStr">
        <is>
          <t>TORSÅS</t>
        </is>
      </c>
      <c r="G329" t="n">
        <v>0.4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64912-2020</t>
        </is>
      </c>
      <c r="B330" s="1" t="n">
        <v>44172</v>
      </c>
      <c r="C330" s="1" t="n">
        <v>45692</v>
      </c>
      <c r="D330" t="inlineStr">
        <is>
          <t>KALMAR LÄN</t>
        </is>
      </c>
      <c r="E330" t="inlineStr">
        <is>
          <t>TORSÅS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65666-2020</t>
        </is>
      </c>
      <c r="B331" s="1" t="n">
        <v>44173</v>
      </c>
      <c r="C331" s="1" t="n">
        <v>45692</v>
      </c>
      <c r="D331" t="inlineStr">
        <is>
          <t>KALMAR LÄN</t>
        </is>
      </c>
      <c r="E331" t="inlineStr">
        <is>
          <t>TORSÅS</t>
        </is>
      </c>
      <c r="G331" t="n">
        <v>2.5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65687-2020</t>
        </is>
      </c>
      <c r="B332" s="1" t="n">
        <v>44174</v>
      </c>
      <c r="C332" s="1" t="n">
        <v>45692</v>
      </c>
      <c r="D332" t="inlineStr">
        <is>
          <t>KALMAR LÄN</t>
        </is>
      </c>
      <c r="E332" t="inlineStr">
        <is>
          <t>TORSÅS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66812-2020</t>
        </is>
      </c>
      <c r="B333" s="1" t="n">
        <v>44179</v>
      </c>
      <c r="C333" s="1" t="n">
        <v>45692</v>
      </c>
      <c r="D333" t="inlineStr">
        <is>
          <t>KALMAR LÄN</t>
        </is>
      </c>
      <c r="E333" t="inlineStr">
        <is>
          <t>TORSÅS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67376-2020</t>
        </is>
      </c>
      <c r="B334" s="1" t="n">
        <v>44181</v>
      </c>
      <c r="C334" s="1" t="n">
        <v>45692</v>
      </c>
      <c r="D334" t="inlineStr">
        <is>
          <t>KALMAR LÄN</t>
        </is>
      </c>
      <c r="E334" t="inlineStr">
        <is>
          <t>TORSÅS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67633-2020</t>
        </is>
      </c>
      <c r="B335" s="1" t="n">
        <v>44182</v>
      </c>
      <c r="C335" s="1" t="n">
        <v>45692</v>
      </c>
      <c r="D335" t="inlineStr">
        <is>
          <t>KALMAR LÄN</t>
        </is>
      </c>
      <c r="E335" t="inlineStr">
        <is>
          <t>TORSÅS</t>
        </is>
      </c>
      <c r="G335" t="n">
        <v>2.8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68951-2020</t>
        </is>
      </c>
      <c r="B336" s="1" t="n">
        <v>44187</v>
      </c>
      <c r="C336" s="1" t="n">
        <v>45692</v>
      </c>
      <c r="D336" t="inlineStr">
        <is>
          <t>KALMAR LÄN</t>
        </is>
      </c>
      <c r="E336" t="inlineStr">
        <is>
          <t>TORSÅS</t>
        </is>
      </c>
      <c r="G336" t="n">
        <v>3.9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278-2021</t>
        </is>
      </c>
      <c r="B337" s="1" t="n">
        <v>44201</v>
      </c>
      <c r="C337" s="1" t="n">
        <v>45692</v>
      </c>
      <c r="D337" t="inlineStr">
        <is>
          <t>KALMAR LÄN</t>
        </is>
      </c>
      <c r="E337" t="inlineStr">
        <is>
          <t>TORSÅS</t>
        </is>
      </c>
      <c r="G337" t="n">
        <v>0.4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1066-2021</t>
        </is>
      </c>
      <c r="B338" s="1" t="n">
        <v>44207</v>
      </c>
      <c r="C338" s="1" t="n">
        <v>45692</v>
      </c>
      <c r="D338" t="inlineStr">
        <is>
          <t>KALMAR LÄN</t>
        </is>
      </c>
      <c r="E338" t="inlineStr">
        <is>
          <t>TORSÅS</t>
        </is>
      </c>
      <c r="G338" t="n">
        <v>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1235-2021</t>
        </is>
      </c>
      <c r="B339" s="1" t="n">
        <v>44208</v>
      </c>
      <c r="C339" s="1" t="n">
        <v>45692</v>
      </c>
      <c r="D339" t="inlineStr">
        <is>
          <t>KALMAR LÄN</t>
        </is>
      </c>
      <c r="E339" t="inlineStr">
        <is>
          <t>TORSÅS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1223-2021</t>
        </is>
      </c>
      <c r="B340" s="1" t="n">
        <v>44208</v>
      </c>
      <c r="C340" s="1" t="n">
        <v>45692</v>
      </c>
      <c r="D340" t="inlineStr">
        <is>
          <t>KALMAR LÄN</t>
        </is>
      </c>
      <c r="E340" t="inlineStr">
        <is>
          <t>TORSÅS</t>
        </is>
      </c>
      <c r="G340" t="n">
        <v>2.4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1234-2021</t>
        </is>
      </c>
      <c r="B341" s="1" t="n">
        <v>44208</v>
      </c>
      <c r="C341" s="1" t="n">
        <v>45692</v>
      </c>
      <c r="D341" t="inlineStr">
        <is>
          <t>KALMAR LÄN</t>
        </is>
      </c>
      <c r="E341" t="inlineStr">
        <is>
          <t>TORSÅS</t>
        </is>
      </c>
      <c r="G341" t="n">
        <v>4.5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1398-2021</t>
        </is>
      </c>
      <c r="B342" s="1" t="n">
        <v>44208</v>
      </c>
      <c r="C342" s="1" t="n">
        <v>45692</v>
      </c>
      <c r="D342" t="inlineStr">
        <is>
          <t>KALMAR LÄN</t>
        </is>
      </c>
      <c r="E342" t="inlineStr">
        <is>
          <t>TORSÅS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1378-2021</t>
        </is>
      </c>
      <c r="B343" s="1" t="n">
        <v>44208</v>
      </c>
      <c r="C343" s="1" t="n">
        <v>45692</v>
      </c>
      <c r="D343" t="inlineStr">
        <is>
          <t>KALMAR LÄN</t>
        </is>
      </c>
      <c r="E343" t="inlineStr">
        <is>
          <t>TORSÅS</t>
        </is>
      </c>
      <c r="G343" t="n">
        <v>1.8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1996-2021</t>
        </is>
      </c>
      <c r="B344" s="1" t="n">
        <v>44210</v>
      </c>
      <c r="C344" s="1" t="n">
        <v>45692</v>
      </c>
      <c r="D344" t="inlineStr">
        <is>
          <t>KALMAR LÄN</t>
        </is>
      </c>
      <c r="E344" t="inlineStr">
        <is>
          <t>TORSÅS</t>
        </is>
      </c>
      <c r="G344" t="n">
        <v>1.6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2226-2021</t>
        </is>
      </c>
      <c r="B345" s="1" t="n">
        <v>44211</v>
      </c>
      <c r="C345" s="1" t="n">
        <v>45692</v>
      </c>
      <c r="D345" t="inlineStr">
        <is>
          <t>KALMAR LÄN</t>
        </is>
      </c>
      <c r="E345" t="inlineStr">
        <is>
          <t>TORSÅS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2245-2021</t>
        </is>
      </c>
      <c r="B346" s="1" t="n">
        <v>44211</v>
      </c>
      <c r="C346" s="1" t="n">
        <v>45692</v>
      </c>
      <c r="D346" t="inlineStr">
        <is>
          <t>KALMAR LÄN</t>
        </is>
      </c>
      <c r="E346" t="inlineStr">
        <is>
          <t>TORSÅS</t>
        </is>
      </c>
      <c r="G346" t="n">
        <v>0.4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2247-2021</t>
        </is>
      </c>
      <c r="B347" s="1" t="n">
        <v>44211</v>
      </c>
      <c r="C347" s="1" t="n">
        <v>45692</v>
      </c>
      <c r="D347" t="inlineStr">
        <is>
          <t>KALMAR LÄN</t>
        </is>
      </c>
      <c r="E347" t="inlineStr">
        <is>
          <t>TORSÅS</t>
        </is>
      </c>
      <c r="G347" t="n">
        <v>0.4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2326-2021</t>
        </is>
      </c>
      <c r="B348" s="1" t="n">
        <v>44214</v>
      </c>
      <c r="C348" s="1" t="n">
        <v>45692</v>
      </c>
      <c r="D348" t="inlineStr">
        <is>
          <t>KALMAR LÄN</t>
        </is>
      </c>
      <c r="E348" t="inlineStr">
        <is>
          <t>TORSÅS</t>
        </is>
      </c>
      <c r="G348" t="n">
        <v>5.4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3203-2021</t>
        </is>
      </c>
      <c r="B349" s="1" t="n">
        <v>44217</v>
      </c>
      <c r="C349" s="1" t="n">
        <v>45692</v>
      </c>
      <c r="D349" t="inlineStr">
        <is>
          <t>KALMAR LÄN</t>
        </is>
      </c>
      <c r="E349" t="inlineStr">
        <is>
          <t>TORSÅS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3129-2021</t>
        </is>
      </c>
      <c r="B350" s="1" t="n">
        <v>44217</v>
      </c>
      <c r="C350" s="1" t="n">
        <v>45692</v>
      </c>
      <c r="D350" t="inlineStr">
        <is>
          <t>KALMAR LÄN</t>
        </is>
      </c>
      <c r="E350" t="inlineStr">
        <is>
          <t>TORSÅS</t>
        </is>
      </c>
      <c r="G350" t="n">
        <v>0.4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4493-2021</t>
        </is>
      </c>
      <c r="B351" s="1" t="n">
        <v>44224</v>
      </c>
      <c r="C351" s="1" t="n">
        <v>45692</v>
      </c>
      <c r="D351" t="inlineStr">
        <is>
          <t>KALMAR LÄN</t>
        </is>
      </c>
      <c r="E351" t="inlineStr">
        <is>
          <t>TORSÅS</t>
        </is>
      </c>
      <c r="G351" t="n">
        <v>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4958-2021</t>
        </is>
      </c>
      <c r="B352" s="1" t="n">
        <v>44228</v>
      </c>
      <c r="C352" s="1" t="n">
        <v>45692</v>
      </c>
      <c r="D352" t="inlineStr">
        <is>
          <t>KALMAR LÄN</t>
        </is>
      </c>
      <c r="E352" t="inlineStr">
        <is>
          <t>TORSÅS</t>
        </is>
      </c>
      <c r="G352" t="n">
        <v>3.9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6267-2021</t>
        </is>
      </c>
      <c r="B353" s="1" t="n">
        <v>44235</v>
      </c>
      <c r="C353" s="1" t="n">
        <v>45692</v>
      </c>
      <c r="D353" t="inlineStr">
        <is>
          <t>KALMAR LÄN</t>
        </is>
      </c>
      <c r="E353" t="inlineStr">
        <is>
          <t>TORSÅS</t>
        </is>
      </c>
      <c r="G353" t="n">
        <v>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7871-2021</t>
        </is>
      </c>
      <c r="B354" s="1" t="n">
        <v>44242</v>
      </c>
      <c r="C354" s="1" t="n">
        <v>45692</v>
      </c>
      <c r="D354" t="inlineStr">
        <is>
          <t>KALMAR LÄN</t>
        </is>
      </c>
      <c r="E354" t="inlineStr">
        <is>
          <t>TORSÅS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8065-2021</t>
        </is>
      </c>
      <c r="B355" s="1" t="n">
        <v>44243</v>
      </c>
      <c r="C355" s="1" t="n">
        <v>45692</v>
      </c>
      <c r="D355" t="inlineStr">
        <is>
          <t>KALMAR LÄN</t>
        </is>
      </c>
      <c r="E355" t="inlineStr">
        <is>
          <t>TORSÅS</t>
        </is>
      </c>
      <c r="G355" t="n">
        <v>2.2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8184-2021</t>
        </is>
      </c>
      <c r="B356" s="1" t="n">
        <v>44244</v>
      </c>
      <c r="C356" s="1" t="n">
        <v>45692</v>
      </c>
      <c r="D356" t="inlineStr">
        <is>
          <t>KALMAR LÄN</t>
        </is>
      </c>
      <c r="E356" t="inlineStr">
        <is>
          <t>TORSÅS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8580-2021</t>
        </is>
      </c>
      <c r="B357" s="1" t="n">
        <v>44245</v>
      </c>
      <c r="C357" s="1" t="n">
        <v>45692</v>
      </c>
      <c r="D357" t="inlineStr">
        <is>
          <t>KALMAR LÄN</t>
        </is>
      </c>
      <c r="E357" t="inlineStr">
        <is>
          <t>TORSÅS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8719-2021</t>
        </is>
      </c>
      <c r="B358" s="1" t="n">
        <v>44246</v>
      </c>
      <c r="C358" s="1" t="n">
        <v>45692</v>
      </c>
      <c r="D358" t="inlineStr">
        <is>
          <t>KALMAR LÄN</t>
        </is>
      </c>
      <c r="E358" t="inlineStr">
        <is>
          <t>TORSÅS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9363-2021</t>
        </is>
      </c>
      <c r="B359" s="1" t="n">
        <v>44250</v>
      </c>
      <c r="C359" s="1" t="n">
        <v>45692</v>
      </c>
      <c r="D359" t="inlineStr">
        <is>
          <t>KALMAR LÄN</t>
        </is>
      </c>
      <c r="E359" t="inlineStr">
        <is>
          <t>TORSÅS</t>
        </is>
      </c>
      <c r="G359" t="n">
        <v>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9370-2021</t>
        </is>
      </c>
      <c r="B360" s="1" t="n">
        <v>44250</v>
      </c>
      <c r="C360" s="1" t="n">
        <v>45692</v>
      </c>
      <c r="D360" t="inlineStr">
        <is>
          <t>KALMAR LÄN</t>
        </is>
      </c>
      <c r="E360" t="inlineStr">
        <is>
          <t>TORSÅS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9369-2021</t>
        </is>
      </c>
      <c r="B361" s="1" t="n">
        <v>44250</v>
      </c>
      <c r="C361" s="1" t="n">
        <v>45692</v>
      </c>
      <c r="D361" t="inlineStr">
        <is>
          <t>KALMAR LÄN</t>
        </is>
      </c>
      <c r="E361" t="inlineStr">
        <is>
          <t>TORSÅS</t>
        </is>
      </c>
      <c r="G361" t="n">
        <v>5.7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9688-2021</t>
        </is>
      </c>
      <c r="B362" s="1" t="n">
        <v>44252</v>
      </c>
      <c r="C362" s="1" t="n">
        <v>45692</v>
      </c>
      <c r="D362" t="inlineStr">
        <is>
          <t>KALMAR LÄN</t>
        </is>
      </c>
      <c r="E362" t="inlineStr">
        <is>
          <t>TORSÅS</t>
        </is>
      </c>
      <c r="G362" t="n">
        <v>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9750-2021</t>
        </is>
      </c>
      <c r="B363" s="1" t="n">
        <v>44252</v>
      </c>
      <c r="C363" s="1" t="n">
        <v>45692</v>
      </c>
      <c r="D363" t="inlineStr">
        <is>
          <t>KALMAR LÄN</t>
        </is>
      </c>
      <c r="E363" t="inlineStr">
        <is>
          <t>TORSÅS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10907-2021</t>
        </is>
      </c>
      <c r="B364" s="1" t="n">
        <v>44259</v>
      </c>
      <c r="C364" s="1" t="n">
        <v>45692</v>
      </c>
      <c r="D364" t="inlineStr">
        <is>
          <t>KALMAR LÄN</t>
        </is>
      </c>
      <c r="E364" t="inlineStr">
        <is>
          <t>TORSÅS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10945-2021</t>
        </is>
      </c>
      <c r="B365" s="1" t="n">
        <v>44260</v>
      </c>
      <c r="C365" s="1" t="n">
        <v>45692</v>
      </c>
      <c r="D365" t="inlineStr">
        <is>
          <t>KALMAR LÄN</t>
        </is>
      </c>
      <c r="E365" t="inlineStr">
        <is>
          <t>TORSÅS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11266-2021</t>
        </is>
      </c>
      <c r="B366" s="1" t="n">
        <v>44263</v>
      </c>
      <c r="C366" s="1" t="n">
        <v>45692</v>
      </c>
      <c r="D366" t="inlineStr">
        <is>
          <t>KALMAR LÄN</t>
        </is>
      </c>
      <c r="E366" t="inlineStr">
        <is>
          <t>TORSÅS</t>
        </is>
      </c>
      <c r="G366" t="n">
        <v>3.3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11225-2021</t>
        </is>
      </c>
      <c r="B367" s="1" t="n">
        <v>44263</v>
      </c>
      <c r="C367" s="1" t="n">
        <v>45692</v>
      </c>
      <c r="D367" t="inlineStr">
        <is>
          <t>KALMAR LÄN</t>
        </is>
      </c>
      <c r="E367" t="inlineStr">
        <is>
          <t>TORSÅS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11275-2021</t>
        </is>
      </c>
      <c r="B368" s="1" t="n">
        <v>44263</v>
      </c>
      <c r="C368" s="1" t="n">
        <v>45692</v>
      </c>
      <c r="D368" t="inlineStr">
        <is>
          <t>KALMAR LÄN</t>
        </is>
      </c>
      <c r="E368" t="inlineStr">
        <is>
          <t>TORSÅS</t>
        </is>
      </c>
      <c r="G368" t="n">
        <v>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11269-2021</t>
        </is>
      </c>
      <c r="B369" s="1" t="n">
        <v>44263</v>
      </c>
      <c r="C369" s="1" t="n">
        <v>45692</v>
      </c>
      <c r="D369" t="inlineStr">
        <is>
          <t>KALMAR LÄN</t>
        </is>
      </c>
      <c r="E369" t="inlineStr">
        <is>
          <t>TORSÅS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12096-2021</t>
        </is>
      </c>
      <c r="B370" s="1" t="n">
        <v>44266</v>
      </c>
      <c r="C370" s="1" t="n">
        <v>45692</v>
      </c>
      <c r="D370" t="inlineStr">
        <is>
          <t>KALMAR LÄN</t>
        </is>
      </c>
      <c r="E370" t="inlineStr">
        <is>
          <t>TORSÅS</t>
        </is>
      </c>
      <c r="G370" t="n">
        <v>3.1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12098-2021</t>
        </is>
      </c>
      <c r="B371" s="1" t="n">
        <v>44266</v>
      </c>
      <c r="C371" s="1" t="n">
        <v>45692</v>
      </c>
      <c r="D371" t="inlineStr">
        <is>
          <t>KALMAR LÄN</t>
        </is>
      </c>
      <c r="E371" t="inlineStr">
        <is>
          <t>TORSÅS</t>
        </is>
      </c>
      <c r="G371" t="n">
        <v>6.6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12303-2021</t>
        </is>
      </c>
      <c r="B372" s="1" t="n">
        <v>44267</v>
      </c>
      <c r="C372" s="1" t="n">
        <v>45692</v>
      </c>
      <c r="D372" t="inlineStr">
        <is>
          <t>KALMAR LÄN</t>
        </is>
      </c>
      <c r="E372" t="inlineStr">
        <is>
          <t>TORSÅS</t>
        </is>
      </c>
      <c r="G372" t="n">
        <v>1.8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12296-2021</t>
        </is>
      </c>
      <c r="B373" s="1" t="n">
        <v>44267</v>
      </c>
      <c r="C373" s="1" t="n">
        <v>45692</v>
      </c>
      <c r="D373" t="inlineStr">
        <is>
          <t>KALMAR LÄN</t>
        </is>
      </c>
      <c r="E373" t="inlineStr">
        <is>
          <t>TORSÅS</t>
        </is>
      </c>
      <c r="G373" t="n">
        <v>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12753-2021</t>
        </is>
      </c>
      <c r="B374" s="1" t="n">
        <v>44270</v>
      </c>
      <c r="C374" s="1" t="n">
        <v>45692</v>
      </c>
      <c r="D374" t="inlineStr">
        <is>
          <t>KALMAR LÄN</t>
        </is>
      </c>
      <c r="E374" t="inlineStr">
        <is>
          <t>TORSÅS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13830-2021</t>
        </is>
      </c>
      <c r="B375" s="1" t="n">
        <v>44275</v>
      </c>
      <c r="C375" s="1" t="n">
        <v>45692</v>
      </c>
      <c r="D375" t="inlineStr">
        <is>
          <t>KALMAR LÄN</t>
        </is>
      </c>
      <c r="E375" t="inlineStr">
        <is>
          <t>TORSÅS</t>
        </is>
      </c>
      <c r="G375" t="n">
        <v>5.3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13954-2021</t>
        </is>
      </c>
      <c r="B376" s="1" t="n">
        <v>44277</v>
      </c>
      <c r="C376" s="1" t="n">
        <v>45692</v>
      </c>
      <c r="D376" t="inlineStr">
        <is>
          <t>KALMAR LÄN</t>
        </is>
      </c>
      <c r="E376" t="inlineStr">
        <is>
          <t>TORSÅS</t>
        </is>
      </c>
      <c r="G376" t="n">
        <v>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14048-2021</t>
        </is>
      </c>
      <c r="B377" s="1" t="n">
        <v>44277</v>
      </c>
      <c r="C377" s="1" t="n">
        <v>45692</v>
      </c>
      <c r="D377" t="inlineStr">
        <is>
          <t>KALMAR LÄN</t>
        </is>
      </c>
      <c r="E377" t="inlineStr">
        <is>
          <t>TORSÅS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14063-2021</t>
        </is>
      </c>
      <c r="B378" s="1" t="n">
        <v>44277</v>
      </c>
      <c r="C378" s="1" t="n">
        <v>45692</v>
      </c>
      <c r="D378" t="inlineStr">
        <is>
          <t>KALMAR LÄN</t>
        </is>
      </c>
      <c r="E378" t="inlineStr">
        <is>
          <t>TORSÅS</t>
        </is>
      </c>
      <c r="G378" t="n">
        <v>1.7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14170-2021</t>
        </is>
      </c>
      <c r="B379" s="1" t="n">
        <v>44278</v>
      </c>
      <c r="C379" s="1" t="n">
        <v>45692</v>
      </c>
      <c r="D379" t="inlineStr">
        <is>
          <t>KALMAR LÄN</t>
        </is>
      </c>
      <c r="E379" t="inlineStr">
        <is>
          <t>TORSÅS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14767-2021</t>
        </is>
      </c>
      <c r="B380" s="1" t="n">
        <v>44280</v>
      </c>
      <c r="C380" s="1" t="n">
        <v>45692</v>
      </c>
      <c r="D380" t="inlineStr">
        <is>
          <t>KALMAR LÄN</t>
        </is>
      </c>
      <c r="E380" t="inlineStr">
        <is>
          <t>TORSÅS</t>
        </is>
      </c>
      <c r="G380" t="n">
        <v>11.6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14834-2021</t>
        </is>
      </c>
      <c r="B381" s="1" t="n">
        <v>44280</v>
      </c>
      <c r="C381" s="1" t="n">
        <v>45692</v>
      </c>
      <c r="D381" t="inlineStr">
        <is>
          <t>KALMAR LÄN</t>
        </is>
      </c>
      <c r="E381" t="inlineStr">
        <is>
          <t>TORSÅS</t>
        </is>
      </c>
      <c r="G381" t="n">
        <v>8.800000000000001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15212-2021</t>
        </is>
      </c>
      <c r="B382" s="1" t="n">
        <v>44284</v>
      </c>
      <c r="C382" s="1" t="n">
        <v>45692</v>
      </c>
      <c r="D382" t="inlineStr">
        <is>
          <t>KALMAR LÄN</t>
        </is>
      </c>
      <c r="E382" t="inlineStr">
        <is>
          <t>TORSÅS</t>
        </is>
      </c>
      <c r="G382" t="n">
        <v>3.7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15213-2021</t>
        </is>
      </c>
      <c r="B383" s="1" t="n">
        <v>44284</v>
      </c>
      <c r="C383" s="1" t="n">
        <v>45692</v>
      </c>
      <c r="D383" t="inlineStr">
        <is>
          <t>KALMAR LÄN</t>
        </is>
      </c>
      <c r="E383" t="inlineStr">
        <is>
          <t>TORSÅS</t>
        </is>
      </c>
      <c r="G383" t="n">
        <v>4.1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16552-2021</t>
        </is>
      </c>
      <c r="B384" s="1" t="n">
        <v>44293</v>
      </c>
      <c r="C384" s="1" t="n">
        <v>45692</v>
      </c>
      <c r="D384" t="inlineStr">
        <is>
          <t>KALMAR LÄN</t>
        </is>
      </c>
      <c r="E384" t="inlineStr">
        <is>
          <t>TORSÅS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16786-2021</t>
        </is>
      </c>
      <c r="B385" s="1" t="n">
        <v>44295</v>
      </c>
      <c r="C385" s="1" t="n">
        <v>45692</v>
      </c>
      <c r="D385" t="inlineStr">
        <is>
          <t>KALMAR LÄN</t>
        </is>
      </c>
      <c r="E385" t="inlineStr">
        <is>
          <t>TORSÅS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16921-2021</t>
        </is>
      </c>
      <c r="B386" s="1" t="n">
        <v>44295</v>
      </c>
      <c r="C386" s="1" t="n">
        <v>45692</v>
      </c>
      <c r="D386" t="inlineStr">
        <is>
          <t>KALMAR LÄN</t>
        </is>
      </c>
      <c r="E386" t="inlineStr">
        <is>
          <t>TORSÅS</t>
        </is>
      </c>
      <c r="G386" t="n">
        <v>5.2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17357-2021</t>
        </is>
      </c>
      <c r="B387" s="1" t="n">
        <v>44298</v>
      </c>
      <c r="C387" s="1" t="n">
        <v>45692</v>
      </c>
      <c r="D387" t="inlineStr">
        <is>
          <t>KALMAR LÄN</t>
        </is>
      </c>
      <c r="E387" t="inlineStr">
        <is>
          <t>TORSÅS</t>
        </is>
      </c>
      <c r="G387" t="n">
        <v>3.9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17358-2021</t>
        </is>
      </c>
      <c r="B388" s="1" t="n">
        <v>44298</v>
      </c>
      <c r="C388" s="1" t="n">
        <v>45692</v>
      </c>
      <c r="D388" t="inlineStr">
        <is>
          <t>KALMAR LÄN</t>
        </is>
      </c>
      <c r="E388" t="inlineStr">
        <is>
          <t>TORSÅS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18201-2021</t>
        </is>
      </c>
      <c r="B389" s="1" t="n">
        <v>44302</v>
      </c>
      <c r="C389" s="1" t="n">
        <v>45692</v>
      </c>
      <c r="D389" t="inlineStr">
        <is>
          <t>KALMAR LÄN</t>
        </is>
      </c>
      <c r="E389" t="inlineStr">
        <is>
          <t>TORSÅS</t>
        </is>
      </c>
      <c r="G389" t="n">
        <v>3.1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18200-2021</t>
        </is>
      </c>
      <c r="B390" s="1" t="n">
        <v>44302</v>
      </c>
      <c r="C390" s="1" t="n">
        <v>45692</v>
      </c>
      <c r="D390" t="inlineStr">
        <is>
          <t>KALMAR LÄN</t>
        </is>
      </c>
      <c r="E390" t="inlineStr">
        <is>
          <t>TORSÅS</t>
        </is>
      </c>
      <c r="G390" t="n">
        <v>2.1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18641-2021</t>
        </is>
      </c>
      <c r="B391" s="1" t="n">
        <v>44306</v>
      </c>
      <c r="C391" s="1" t="n">
        <v>45692</v>
      </c>
      <c r="D391" t="inlineStr">
        <is>
          <t>KALMAR LÄN</t>
        </is>
      </c>
      <c r="E391" t="inlineStr">
        <is>
          <t>TORSÅS</t>
        </is>
      </c>
      <c r="G391" t="n">
        <v>1.9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18646-2021</t>
        </is>
      </c>
      <c r="B392" s="1" t="n">
        <v>44306</v>
      </c>
      <c r="C392" s="1" t="n">
        <v>45692</v>
      </c>
      <c r="D392" t="inlineStr">
        <is>
          <t>KALMAR LÄN</t>
        </is>
      </c>
      <c r="E392" t="inlineStr">
        <is>
          <t>TORSÅS</t>
        </is>
      </c>
      <c r="G392" t="n">
        <v>3.1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18981-2021</t>
        </is>
      </c>
      <c r="B393" s="1" t="n">
        <v>44308</v>
      </c>
      <c r="C393" s="1" t="n">
        <v>45692</v>
      </c>
      <c r="D393" t="inlineStr">
        <is>
          <t>KALMAR LÄN</t>
        </is>
      </c>
      <c r="E393" t="inlineStr">
        <is>
          <t>TORSÅS</t>
        </is>
      </c>
      <c r="G393" t="n">
        <v>3.2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18895-2021</t>
        </is>
      </c>
      <c r="B394" s="1" t="n">
        <v>44308</v>
      </c>
      <c r="C394" s="1" t="n">
        <v>45692</v>
      </c>
      <c r="D394" t="inlineStr">
        <is>
          <t>KALMAR LÄN</t>
        </is>
      </c>
      <c r="E394" t="inlineStr">
        <is>
          <t>TORSÅS</t>
        </is>
      </c>
      <c r="G394" t="n">
        <v>1.9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19992-2021</t>
        </is>
      </c>
      <c r="B395" s="1" t="n">
        <v>44313</v>
      </c>
      <c r="C395" s="1" t="n">
        <v>45692</v>
      </c>
      <c r="D395" t="inlineStr">
        <is>
          <t>KALMAR LÄN</t>
        </is>
      </c>
      <c r="E395" t="inlineStr">
        <is>
          <t>TORSÅS</t>
        </is>
      </c>
      <c r="G395" t="n">
        <v>1.3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21145-2021</t>
        </is>
      </c>
      <c r="B396" s="1" t="n">
        <v>44313</v>
      </c>
      <c r="C396" s="1" t="n">
        <v>45692</v>
      </c>
      <c r="D396" t="inlineStr">
        <is>
          <t>KALMAR LÄN</t>
        </is>
      </c>
      <c r="E396" t="inlineStr">
        <is>
          <t>TORSÅS</t>
        </is>
      </c>
      <c r="G396" t="n">
        <v>3.4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19792-2021</t>
        </is>
      </c>
      <c r="B397" s="1" t="n">
        <v>44313</v>
      </c>
      <c r="C397" s="1" t="n">
        <v>45692</v>
      </c>
      <c r="D397" t="inlineStr">
        <is>
          <t>KALMAR LÄN</t>
        </is>
      </c>
      <c r="E397" t="inlineStr">
        <is>
          <t>TORSÅS</t>
        </is>
      </c>
      <c r="G397" t="n">
        <v>2.5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19988-2021</t>
        </is>
      </c>
      <c r="B398" s="1" t="n">
        <v>44313</v>
      </c>
      <c r="C398" s="1" t="n">
        <v>45692</v>
      </c>
      <c r="D398" t="inlineStr">
        <is>
          <t>KALMAR LÄN</t>
        </is>
      </c>
      <c r="E398" t="inlineStr">
        <is>
          <t>TORSÅS</t>
        </is>
      </c>
      <c r="G398" t="n">
        <v>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20102-2021</t>
        </is>
      </c>
      <c r="B399" s="1" t="n">
        <v>44314</v>
      </c>
      <c r="C399" s="1" t="n">
        <v>45692</v>
      </c>
      <c r="D399" t="inlineStr">
        <is>
          <t>KALMAR LÄN</t>
        </is>
      </c>
      <c r="E399" t="inlineStr">
        <is>
          <t>TORSÅS</t>
        </is>
      </c>
      <c r="F399" t="inlineStr">
        <is>
          <t>Övriga Aktiebolag</t>
        </is>
      </c>
      <c r="G399" t="n">
        <v>3.3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20419-2021</t>
        </is>
      </c>
      <c r="B400" s="1" t="n">
        <v>44314</v>
      </c>
      <c r="C400" s="1" t="n">
        <v>45692</v>
      </c>
      <c r="D400" t="inlineStr">
        <is>
          <t>KALMAR LÄN</t>
        </is>
      </c>
      <c r="E400" t="inlineStr">
        <is>
          <t>TORSÅS</t>
        </is>
      </c>
      <c r="G400" t="n">
        <v>1.6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20470-2021</t>
        </is>
      </c>
      <c r="B401" s="1" t="n">
        <v>44315</v>
      </c>
      <c r="C401" s="1" t="n">
        <v>45692</v>
      </c>
      <c r="D401" t="inlineStr">
        <is>
          <t>KALMAR LÄN</t>
        </is>
      </c>
      <c r="E401" t="inlineStr">
        <is>
          <t>TORSÅS</t>
        </is>
      </c>
      <c r="G401" t="n">
        <v>1.4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20688-2021</t>
        </is>
      </c>
      <c r="B402" s="1" t="n">
        <v>44316</v>
      </c>
      <c r="C402" s="1" t="n">
        <v>45692</v>
      </c>
      <c r="D402" t="inlineStr">
        <is>
          <t>KALMAR LÄN</t>
        </is>
      </c>
      <c r="E402" t="inlineStr">
        <is>
          <t>TORSÅS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23309-2021</t>
        </is>
      </c>
      <c r="B403" s="1" t="n">
        <v>44330</v>
      </c>
      <c r="C403" s="1" t="n">
        <v>45692</v>
      </c>
      <c r="D403" t="inlineStr">
        <is>
          <t>KALMAR LÄN</t>
        </is>
      </c>
      <c r="E403" t="inlineStr">
        <is>
          <t>TORSÅS</t>
        </is>
      </c>
      <c r="G403" t="n">
        <v>4.8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24040-2021</t>
        </is>
      </c>
      <c r="B404" s="1" t="n">
        <v>44336</v>
      </c>
      <c r="C404" s="1" t="n">
        <v>45692</v>
      </c>
      <c r="D404" t="inlineStr">
        <is>
          <t>KALMAR LÄN</t>
        </is>
      </c>
      <c r="E404" t="inlineStr">
        <is>
          <t>TORSÅS</t>
        </is>
      </c>
      <c r="G404" t="n">
        <v>11.3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24124-2021</t>
        </is>
      </c>
      <c r="B405" s="1" t="n">
        <v>44336</v>
      </c>
      <c r="C405" s="1" t="n">
        <v>45692</v>
      </c>
      <c r="D405" t="inlineStr">
        <is>
          <t>KALMAR LÄN</t>
        </is>
      </c>
      <c r="E405" t="inlineStr">
        <is>
          <t>TORSÅS</t>
        </is>
      </c>
      <c r="G405" t="n">
        <v>4.5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26224-2021</t>
        </is>
      </c>
      <c r="B406" s="1" t="n">
        <v>44347</v>
      </c>
      <c r="C406" s="1" t="n">
        <v>45692</v>
      </c>
      <c r="D406" t="inlineStr">
        <is>
          <t>KALMAR LÄN</t>
        </is>
      </c>
      <c r="E406" t="inlineStr">
        <is>
          <t>TORSÅS</t>
        </is>
      </c>
      <c r="G406" t="n">
        <v>0.4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28636-2021</t>
        </is>
      </c>
      <c r="B407" s="1" t="n">
        <v>44357</v>
      </c>
      <c r="C407" s="1" t="n">
        <v>45692</v>
      </c>
      <c r="D407" t="inlineStr">
        <is>
          <t>KALMAR LÄN</t>
        </is>
      </c>
      <c r="E407" t="inlineStr">
        <is>
          <t>TORSÅS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30136-2021</t>
        </is>
      </c>
      <c r="B408" s="1" t="n">
        <v>44363</v>
      </c>
      <c r="C408" s="1" t="n">
        <v>45692</v>
      </c>
      <c r="D408" t="inlineStr">
        <is>
          <t>KALMAR LÄN</t>
        </is>
      </c>
      <c r="E408" t="inlineStr">
        <is>
          <t>TORSÅS</t>
        </is>
      </c>
      <c r="G408" t="n">
        <v>12.2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30563-2021</t>
        </is>
      </c>
      <c r="B409" s="1" t="n">
        <v>44364</v>
      </c>
      <c r="C409" s="1" t="n">
        <v>45692</v>
      </c>
      <c r="D409" t="inlineStr">
        <is>
          <t>KALMAR LÄN</t>
        </is>
      </c>
      <c r="E409" t="inlineStr">
        <is>
          <t>TORSÅS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31069-2021</t>
        </is>
      </c>
      <c r="B410" s="1" t="n">
        <v>44368</v>
      </c>
      <c r="C410" s="1" t="n">
        <v>45692</v>
      </c>
      <c r="D410" t="inlineStr">
        <is>
          <t>KALMAR LÄN</t>
        </is>
      </c>
      <c r="E410" t="inlineStr">
        <is>
          <t>TORSÅS</t>
        </is>
      </c>
      <c r="G410" t="n">
        <v>1.2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31860-2021</t>
        </is>
      </c>
      <c r="B411" s="1" t="n">
        <v>44370</v>
      </c>
      <c r="C411" s="1" t="n">
        <v>45692</v>
      </c>
      <c r="D411" t="inlineStr">
        <is>
          <t>KALMAR LÄN</t>
        </is>
      </c>
      <c r="E411" t="inlineStr">
        <is>
          <t>TORSÅS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33119-2021</t>
        </is>
      </c>
      <c r="B412" s="1" t="n">
        <v>44376</v>
      </c>
      <c r="C412" s="1" t="n">
        <v>45692</v>
      </c>
      <c r="D412" t="inlineStr">
        <is>
          <t>KALMAR LÄN</t>
        </is>
      </c>
      <c r="E412" t="inlineStr">
        <is>
          <t>TORSÅS</t>
        </is>
      </c>
      <c r="G412" t="n">
        <v>3.6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34269-2021</t>
        </is>
      </c>
      <c r="B413" s="1" t="n">
        <v>44379</v>
      </c>
      <c r="C413" s="1" t="n">
        <v>45692</v>
      </c>
      <c r="D413" t="inlineStr">
        <is>
          <t>KALMAR LÄN</t>
        </is>
      </c>
      <c r="E413" t="inlineStr">
        <is>
          <t>TORSÅS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38521-2021</t>
        </is>
      </c>
      <c r="B414" s="1" t="n">
        <v>44407</v>
      </c>
      <c r="C414" s="1" t="n">
        <v>45692</v>
      </c>
      <c r="D414" t="inlineStr">
        <is>
          <t>KALMAR LÄN</t>
        </is>
      </c>
      <c r="E414" t="inlineStr">
        <is>
          <t>TORSÅS</t>
        </is>
      </c>
      <c r="G414" t="n">
        <v>1.4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38823-2021</t>
        </is>
      </c>
      <c r="B415" s="1" t="n">
        <v>44411</v>
      </c>
      <c r="C415" s="1" t="n">
        <v>45692</v>
      </c>
      <c r="D415" t="inlineStr">
        <is>
          <t>KALMAR LÄN</t>
        </is>
      </c>
      <c r="E415" t="inlineStr">
        <is>
          <t>TORSÅS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38955-2021</t>
        </is>
      </c>
      <c r="B416" s="1" t="n">
        <v>44411</v>
      </c>
      <c r="C416" s="1" t="n">
        <v>45692</v>
      </c>
      <c r="D416" t="inlineStr">
        <is>
          <t>KALMAR LÄN</t>
        </is>
      </c>
      <c r="E416" t="inlineStr">
        <is>
          <t>TORSÅS</t>
        </is>
      </c>
      <c r="G416" t="n">
        <v>3.1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40569-2021</t>
        </is>
      </c>
      <c r="B417" s="1" t="n">
        <v>44420</v>
      </c>
      <c r="C417" s="1" t="n">
        <v>45692</v>
      </c>
      <c r="D417" t="inlineStr">
        <is>
          <t>KALMAR LÄN</t>
        </is>
      </c>
      <c r="E417" t="inlineStr">
        <is>
          <t>TORSÅS</t>
        </is>
      </c>
      <c r="G417" t="n">
        <v>6.1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44103-2021</t>
        </is>
      </c>
      <c r="B418" s="1" t="n">
        <v>44434</v>
      </c>
      <c r="C418" s="1" t="n">
        <v>45692</v>
      </c>
      <c r="D418" t="inlineStr">
        <is>
          <t>KALMAR LÄN</t>
        </is>
      </c>
      <c r="E418" t="inlineStr">
        <is>
          <t>TORSÅS</t>
        </is>
      </c>
      <c r="G418" t="n">
        <v>6.2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44213-2021</t>
        </is>
      </c>
      <c r="B419" s="1" t="n">
        <v>44434</v>
      </c>
      <c r="C419" s="1" t="n">
        <v>45692</v>
      </c>
      <c r="D419" t="inlineStr">
        <is>
          <t>KALMAR LÄN</t>
        </is>
      </c>
      <c r="E419" t="inlineStr">
        <is>
          <t>TORSÅS</t>
        </is>
      </c>
      <c r="F419" t="inlineStr">
        <is>
          <t>Övriga Aktiebolag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46361-2021</t>
        </is>
      </c>
      <c r="B420" s="1" t="n">
        <v>44442</v>
      </c>
      <c r="C420" s="1" t="n">
        <v>45692</v>
      </c>
      <c r="D420" t="inlineStr">
        <is>
          <t>KALMAR LÄN</t>
        </is>
      </c>
      <c r="E420" t="inlineStr">
        <is>
          <t>TORSÅS</t>
        </is>
      </c>
      <c r="G420" t="n">
        <v>2.1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46495-2021</t>
        </is>
      </c>
      <c r="B421" s="1" t="n">
        <v>44445</v>
      </c>
      <c r="C421" s="1" t="n">
        <v>45692</v>
      </c>
      <c r="D421" t="inlineStr">
        <is>
          <t>KALMAR LÄN</t>
        </is>
      </c>
      <c r="E421" t="inlineStr">
        <is>
          <t>TORSÅS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47444-2021</t>
        </is>
      </c>
      <c r="B422" s="1" t="n">
        <v>44447</v>
      </c>
      <c r="C422" s="1" t="n">
        <v>45692</v>
      </c>
      <c r="D422" t="inlineStr">
        <is>
          <t>KALMAR LÄN</t>
        </is>
      </c>
      <c r="E422" t="inlineStr">
        <is>
          <t>TORSÅS</t>
        </is>
      </c>
      <c r="G422" t="n">
        <v>2.4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47507-2021</t>
        </is>
      </c>
      <c r="B423" s="1" t="n">
        <v>44447</v>
      </c>
      <c r="C423" s="1" t="n">
        <v>45692</v>
      </c>
      <c r="D423" t="inlineStr">
        <is>
          <t>KALMAR LÄN</t>
        </is>
      </c>
      <c r="E423" t="inlineStr">
        <is>
          <t>TORSÅS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48686-2021</t>
        </is>
      </c>
      <c r="B424" s="1" t="n">
        <v>44452</v>
      </c>
      <c r="C424" s="1" t="n">
        <v>45692</v>
      </c>
      <c r="D424" t="inlineStr">
        <is>
          <t>KALMAR LÄN</t>
        </is>
      </c>
      <c r="E424" t="inlineStr">
        <is>
          <t>TORSÅS</t>
        </is>
      </c>
      <c r="G424" t="n">
        <v>1.9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49054-2021</t>
        </is>
      </c>
      <c r="B425" s="1" t="n">
        <v>44453</v>
      </c>
      <c r="C425" s="1" t="n">
        <v>45692</v>
      </c>
      <c r="D425" t="inlineStr">
        <is>
          <t>KALMAR LÄN</t>
        </is>
      </c>
      <c r="E425" t="inlineStr">
        <is>
          <t>TORSÅS</t>
        </is>
      </c>
      <c r="G425" t="n">
        <v>1.6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49545-2021</t>
        </is>
      </c>
      <c r="B426" s="1" t="n">
        <v>44455</v>
      </c>
      <c r="C426" s="1" t="n">
        <v>45692</v>
      </c>
      <c r="D426" t="inlineStr">
        <is>
          <t>KALMAR LÄN</t>
        </is>
      </c>
      <c r="E426" t="inlineStr">
        <is>
          <t>TORSÅS</t>
        </is>
      </c>
      <c r="G426" t="n">
        <v>1.8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50226-2021</t>
        </is>
      </c>
      <c r="B427" s="1" t="n">
        <v>44457</v>
      </c>
      <c r="C427" s="1" t="n">
        <v>45692</v>
      </c>
      <c r="D427" t="inlineStr">
        <is>
          <t>KALMAR LÄN</t>
        </is>
      </c>
      <c r="E427" t="inlineStr">
        <is>
          <t>TORSÅS</t>
        </is>
      </c>
      <c r="G427" t="n">
        <v>3.3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50208-2021</t>
        </is>
      </c>
      <c r="B428" s="1" t="n">
        <v>44457</v>
      </c>
      <c r="C428" s="1" t="n">
        <v>45692</v>
      </c>
      <c r="D428" t="inlineStr">
        <is>
          <t>KALMAR LÄN</t>
        </is>
      </c>
      <c r="E428" t="inlineStr">
        <is>
          <t>TORSÅS</t>
        </is>
      </c>
      <c r="G428" t="n">
        <v>3.6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50209-2021</t>
        </is>
      </c>
      <c r="B429" s="1" t="n">
        <v>44457</v>
      </c>
      <c r="C429" s="1" t="n">
        <v>45692</v>
      </c>
      <c r="D429" t="inlineStr">
        <is>
          <t>KALMAR LÄN</t>
        </is>
      </c>
      <c r="E429" t="inlineStr">
        <is>
          <t>TORSÅS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50211-2021</t>
        </is>
      </c>
      <c r="B430" s="1" t="n">
        <v>44457</v>
      </c>
      <c r="C430" s="1" t="n">
        <v>45692</v>
      </c>
      <c r="D430" t="inlineStr">
        <is>
          <t>KALMAR LÄN</t>
        </is>
      </c>
      <c r="E430" t="inlineStr">
        <is>
          <t>TORSÅS</t>
        </is>
      </c>
      <c r="G430" t="n">
        <v>3.7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50605-2021</t>
        </is>
      </c>
      <c r="B431" s="1" t="n">
        <v>44459</v>
      </c>
      <c r="C431" s="1" t="n">
        <v>45692</v>
      </c>
      <c r="D431" t="inlineStr">
        <is>
          <t>KALMAR LÄN</t>
        </is>
      </c>
      <c r="E431" t="inlineStr">
        <is>
          <t>TORSÅS</t>
        </is>
      </c>
      <c r="G431" t="n">
        <v>2.9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50539-2021</t>
        </is>
      </c>
      <c r="B432" s="1" t="n">
        <v>44459</v>
      </c>
      <c r="C432" s="1" t="n">
        <v>45692</v>
      </c>
      <c r="D432" t="inlineStr">
        <is>
          <t>KALMAR LÄN</t>
        </is>
      </c>
      <c r="E432" t="inlineStr">
        <is>
          <t>TORSÅS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50576-2021</t>
        </is>
      </c>
      <c r="B433" s="1" t="n">
        <v>44459</v>
      </c>
      <c r="C433" s="1" t="n">
        <v>45692</v>
      </c>
      <c r="D433" t="inlineStr">
        <is>
          <t>KALMAR LÄN</t>
        </is>
      </c>
      <c r="E433" t="inlineStr">
        <is>
          <t>TORSÅS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50789-2021</t>
        </is>
      </c>
      <c r="B434" s="1" t="n">
        <v>44460</v>
      </c>
      <c r="C434" s="1" t="n">
        <v>45692</v>
      </c>
      <c r="D434" t="inlineStr">
        <is>
          <t>KALMAR LÄN</t>
        </is>
      </c>
      <c r="E434" t="inlineStr">
        <is>
          <t>TORSÅS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52470-2021</t>
        </is>
      </c>
      <c r="B435" s="1" t="n">
        <v>44466</v>
      </c>
      <c r="C435" s="1" t="n">
        <v>45692</v>
      </c>
      <c r="D435" t="inlineStr">
        <is>
          <t>KALMAR LÄN</t>
        </is>
      </c>
      <c r="E435" t="inlineStr">
        <is>
          <t>TORSÅS</t>
        </is>
      </c>
      <c r="G435" t="n">
        <v>2.4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53370-2021</t>
        </is>
      </c>
      <c r="B436" s="1" t="n">
        <v>44466</v>
      </c>
      <c r="C436" s="1" t="n">
        <v>45692</v>
      </c>
      <c r="D436" t="inlineStr">
        <is>
          <t>KALMAR LÄN</t>
        </is>
      </c>
      <c r="E436" t="inlineStr">
        <is>
          <t>TORSÅS</t>
        </is>
      </c>
      <c r="G436" t="n">
        <v>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52886-2021</t>
        </is>
      </c>
      <c r="B437" s="1" t="n">
        <v>44467</v>
      </c>
      <c r="C437" s="1" t="n">
        <v>45692</v>
      </c>
      <c r="D437" t="inlineStr">
        <is>
          <t>KALMAR LÄN</t>
        </is>
      </c>
      <c r="E437" t="inlineStr">
        <is>
          <t>TORSÅS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52889-2021</t>
        </is>
      </c>
      <c r="B438" s="1" t="n">
        <v>44467</v>
      </c>
      <c r="C438" s="1" t="n">
        <v>45692</v>
      </c>
      <c r="D438" t="inlineStr">
        <is>
          <t>KALMAR LÄN</t>
        </is>
      </c>
      <c r="E438" t="inlineStr">
        <is>
          <t>TORSÅS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53571-2021</t>
        </is>
      </c>
      <c r="B439" s="1" t="n">
        <v>44468</v>
      </c>
      <c r="C439" s="1" t="n">
        <v>45692</v>
      </c>
      <c r="D439" t="inlineStr">
        <is>
          <t>KALMAR LÄN</t>
        </is>
      </c>
      <c r="E439" t="inlineStr">
        <is>
          <t>TORSÅS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54449-2021</t>
        </is>
      </c>
      <c r="B440" s="1" t="n">
        <v>44473</v>
      </c>
      <c r="C440" s="1" t="n">
        <v>45692</v>
      </c>
      <c r="D440" t="inlineStr">
        <is>
          <t>KALMAR LÄN</t>
        </is>
      </c>
      <c r="E440" t="inlineStr">
        <is>
          <t>TORSÅS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55101-2021</t>
        </is>
      </c>
      <c r="B441" s="1" t="n">
        <v>44474</v>
      </c>
      <c r="C441" s="1" t="n">
        <v>45692</v>
      </c>
      <c r="D441" t="inlineStr">
        <is>
          <t>KALMAR LÄN</t>
        </is>
      </c>
      <c r="E441" t="inlineStr">
        <is>
          <t>TORSÅS</t>
        </is>
      </c>
      <c r="G441" t="n">
        <v>5.3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55292-2021</t>
        </is>
      </c>
      <c r="B442" s="1" t="n">
        <v>44475</v>
      </c>
      <c r="C442" s="1" t="n">
        <v>45692</v>
      </c>
      <c r="D442" t="inlineStr">
        <is>
          <t>KALMAR LÄN</t>
        </is>
      </c>
      <c r="E442" t="inlineStr">
        <is>
          <t>TORSÅS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55288-2021</t>
        </is>
      </c>
      <c r="B443" s="1" t="n">
        <v>44475</v>
      </c>
      <c r="C443" s="1" t="n">
        <v>45692</v>
      </c>
      <c r="D443" t="inlineStr">
        <is>
          <t>KALMAR LÄN</t>
        </is>
      </c>
      <c r="E443" t="inlineStr">
        <is>
          <t>TORSÅS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55754-2021</t>
        </is>
      </c>
      <c r="B444" s="1" t="n">
        <v>44476</v>
      </c>
      <c r="C444" s="1" t="n">
        <v>45692</v>
      </c>
      <c r="D444" t="inlineStr">
        <is>
          <t>KALMAR LÄN</t>
        </is>
      </c>
      <c r="E444" t="inlineStr">
        <is>
          <t>TORSÅS</t>
        </is>
      </c>
      <c r="G444" t="n">
        <v>0.4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55675-2021</t>
        </is>
      </c>
      <c r="B445" s="1" t="n">
        <v>44476</v>
      </c>
      <c r="C445" s="1" t="n">
        <v>45692</v>
      </c>
      <c r="D445" t="inlineStr">
        <is>
          <t>KALMAR LÄN</t>
        </is>
      </c>
      <c r="E445" t="inlineStr">
        <is>
          <t>TORSÅS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57063-2021</t>
        </is>
      </c>
      <c r="B446" s="1" t="n">
        <v>44482</v>
      </c>
      <c r="C446" s="1" t="n">
        <v>45692</v>
      </c>
      <c r="D446" t="inlineStr">
        <is>
          <t>KALMAR LÄN</t>
        </is>
      </c>
      <c r="E446" t="inlineStr">
        <is>
          <t>TORSÅS</t>
        </is>
      </c>
      <c r="G446" t="n">
        <v>3.6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57099-2021</t>
        </is>
      </c>
      <c r="B447" s="1" t="n">
        <v>44482</v>
      </c>
      <c r="C447" s="1" t="n">
        <v>45692</v>
      </c>
      <c r="D447" t="inlineStr">
        <is>
          <t>KALMAR LÄN</t>
        </is>
      </c>
      <c r="E447" t="inlineStr">
        <is>
          <t>TORSÅS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57944-2021</t>
        </is>
      </c>
      <c r="B448" s="1" t="n">
        <v>44487</v>
      </c>
      <c r="C448" s="1" t="n">
        <v>45692</v>
      </c>
      <c r="D448" t="inlineStr">
        <is>
          <t>KALMAR LÄN</t>
        </is>
      </c>
      <c r="E448" t="inlineStr">
        <is>
          <t>TORSÅS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58776-2021</t>
        </is>
      </c>
      <c r="B449" s="1" t="n">
        <v>44489</v>
      </c>
      <c r="C449" s="1" t="n">
        <v>45692</v>
      </c>
      <c r="D449" t="inlineStr">
        <is>
          <t>KALMAR LÄN</t>
        </is>
      </c>
      <c r="E449" t="inlineStr">
        <is>
          <t>TORSÅS</t>
        </is>
      </c>
      <c r="G449" t="n">
        <v>3.1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58768-2021</t>
        </is>
      </c>
      <c r="B450" s="1" t="n">
        <v>44489</v>
      </c>
      <c r="C450" s="1" t="n">
        <v>45692</v>
      </c>
      <c r="D450" t="inlineStr">
        <is>
          <t>KALMAR LÄN</t>
        </is>
      </c>
      <c r="E450" t="inlineStr">
        <is>
          <t>TORSÅS</t>
        </is>
      </c>
      <c r="G450" t="n">
        <v>0.5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58920-2021</t>
        </is>
      </c>
      <c r="B451" s="1" t="n">
        <v>44489</v>
      </c>
      <c r="C451" s="1" t="n">
        <v>45692</v>
      </c>
      <c r="D451" t="inlineStr">
        <is>
          <t>KALMAR LÄN</t>
        </is>
      </c>
      <c r="E451" t="inlineStr">
        <is>
          <t>TORSÅS</t>
        </is>
      </c>
      <c r="G451" t="n">
        <v>2.5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59284-2021</t>
        </is>
      </c>
      <c r="B452" s="1" t="n">
        <v>44490</v>
      </c>
      <c r="C452" s="1" t="n">
        <v>45692</v>
      </c>
      <c r="D452" t="inlineStr">
        <is>
          <t>KALMAR LÄN</t>
        </is>
      </c>
      <c r="E452" t="inlineStr">
        <is>
          <t>TORSÅS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60055-2021</t>
        </is>
      </c>
      <c r="B453" s="1" t="n">
        <v>44495</v>
      </c>
      <c r="C453" s="1" t="n">
        <v>45692</v>
      </c>
      <c r="D453" t="inlineStr">
        <is>
          <t>KALMAR LÄN</t>
        </is>
      </c>
      <c r="E453" t="inlineStr">
        <is>
          <t>TORSÅS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62101-2021</t>
        </is>
      </c>
      <c r="B454" s="1" t="n">
        <v>44502</v>
      </c>
      <c r="C454" s="1" t="n">
        <v>45692</v>
      </c>
      <c r="D454" t="inlineStr">
        <is>
          <t>KALMAR LÄN</t>
        </is>
      </c>
      <c r="E454" t="inlineStr">
        <is>
          <t>TORSÅS</t>
        </is>
      </c>
      <c r="G454" t="n">
        <v>3.8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64348-2021</t>
        </is>
      </c>
      <c r="B455" s="1" t="n">
        <v>44511</v>
      </c>
      <c r="C455" s="1" t="n">
        <v>45692</v>
      </c>
      <c r="D455" t="inlineStr">
        <is>
          <t>KALMAR LÄN</t>
        </is>
      </c>
      <c r="E455" t="inlineStr">
        <is>
          <t>TORSÅS</t>
        </is>
      </c>
      <c r="G455" t="n">
        <v>1.6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64349-2021</t>
        </is>
      </c>
      <c r="B456" s="1" t="n">
        <v>44511</v>
      </c>
      <c r="C456" s="1" t="n">
        <v>45692</v>
      </c>
      <c r="D456" t="inlineStr">
        <is>
          <t>KALMAR LÄN</t>
        </is>
      </c>
      <c r="E456" t="inlineStr">
        <is>
          <t>TORSÅS</t>
        </is>
      </c>
      <c r="G456" t="n">
        <v>1.3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64991-2021</t>
        </is>
      </c>
      <c r="B457" s="1" t="n">
        <v>44514</v>
      </c>
      <c r="C457" s="1" t="n">
        <v>45692</v>
      </c>
      <c r="D457" t="inlineStr">
        <is>
          <t>KALMAR LÄN</t>
        </is>
      </c>
      <c r="E457" t="inlineStr">
        <is>
          <t>TORSÅS</t>
        </is>
      </c>
      <c r="G457" t="n">
        <v>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65647-2021</t>
        </is>
      </c>
      <c r="B458" s="1" t="n">
        <v>44516</v>
      </c>
      <c r="C458" s="1" t="n">
        <v>45692</v>
      </c>
      <c r="D458" t="inlineStr">
        <is>
          <t>KALMAR LÄN</t>
        </is>
      </c>
      <c r="E458" t="inlineStr">
        <is>
          <t>TORSÅS</t>
        </is>
      </c>
      <c r="G458" t="n">
        <v>2.5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65651-2021</t>
        </is>
      </c>
      <c r="B459" s="1" t="n">
        <v>44516</v>
      </c>
      <c r="C459" s="1" t="n">
        <v>45692</v>
      </c>
      <c r="D459" t="inlineStr">
        <is>
          <t>KALMAR LÄN</t>
        </is>
      </c>
      <c r="E459" t="inlineStr">
        <is>
          <t>TORSÅS</t>
        </is>
      </c>
      <c r="G459" t="n">
        <v>0.9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65912-2021</t>
        </is>
      </c>
      <c r="B460" s="1" t="n">
        <v>44517</v>
      </c>
      <c r="C460" s="1" t="n">
        <v>45692</v>
      </c>
      <c r="D460" t="inlineStr">
        <is>
          <t>KALMAR LÄN</t>
        </is>
      </c>
      <c r="E460" t="inlineStr">
        <is>
          <t>TORSÅS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66543-2021</t>
        </is>
      </c>
      <c r="B461" s="1" t="n">
        <v>44519</v>
      </c>
      <c r="C461" s="1" t="n">
        <v>45692</v>
      </c>
      <c r="D461" t="inlineStr">
        <is>
          <t>KALMAR LÄN</t>
        </is>
      </c>
      <c r="E461" t="inlineStr">
        <is>
          <t>TORSÅS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68493-2021</t>
        </is>
      </c>
      <c r="B462" s="1" t="n">
        <v>44529</v>
      </c>
      <c r="C462" s="1" t="n">
        <v>45692</v>
      </c>
      <c r="D462" t="inlineStr">
        <is>
          <t>KALMAR LÄN</t>
        </is>
      </c>
      <c r="E462" t="inlineStr">
        <is>
          <t>TORSÅS</t>
        </is>
      </c>
      <c r="G462" t="n">
        <v>2.1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68873-2021</t>
        </is>
      </c>
      <c r="B463" s="1" t="n">
        <v>44530</v>
      </c>
      <c r="C463" s="1" t="n">
        <v>45692</v>
      </c>
      <c r="D463" t="inlineStr">
        <is>
          <t>KALMAR LÄN</t>
        </is>
      </c>
      <c r="E463" t="inlineStr">
        <is>
          <t>TORSÅS</t>
        </is>
      </c>
      <c r="G463" t="n">
        <v>4.7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69679-2021</t>
        </is>
      </c>
      <c r="B464" s="1" t="n">
        <v>44532</v>
      </c>
      <c r="C464" s="1" t="n">
        <v>45692</v>
      </c>
      <c r="D464" t="inlineStr">
        <is>
          <t>KALMAR LÄN</t>
        </is>
      </c>
      <c r="E464" t="inlineStr">
        <is>
          <t>TORSÅS</t>
        </is>
      </c>
      <c r="G464" t="n">
        <v>7.5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70317-2021</t>
        </is>
      </c>
      <c r="B465" s="1" t="n">
        <v>44536</v>
      </c>
      <c r="C465" s="1" t="n">
        <v>45692</v>
      </c>
      <c r="D465" t="inlineStr">
        <is>
          <t>KALMAR LÄN</t>
        </is>
      </c>
      <c r="E465" t="inlineStr">
        <is>
          <t>TORSÅS</t>
        </is>
      </c>
      <c r="G465" t="n">
        <v>1.5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70315-2021</t>
        </is>
      </c>
      <c r="B466" s="1" t="n">
        <v>44536</v>
      </c>
      <c r="C466" s="1" t="n">
        <v>45692</v>
      </c>
      <c r="D466" t="inlineStr">
        <is>
          <t>KALMAR LÄN</t>
        </is>
      </c>
      <c r="E466" t="inlineStr">
        <is>
          <t>TORSÅS</t>
        </is>
      </c>
      <c r="G466" t="n">
        <v>3.3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70789-2021</t>
        </is>
      </c>
      <c r="B467" s="1" t="n">
        <v>44537</v>
      </c>
      <c r="C467" s="1" t="n">
        <v>45692</v>
      </c>
      <c r="D467" t="inlineStr">
        <is>
          <t>KALMAR LÄN</t>
        </is>
      </c>
      <c r="E467" t="inlineStr">
        <is>
          <t>TORSÅS</t>
        </is>
      </c>
      <c r="G467" t="n">
        <v>0.8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72526-2021</t>
        </is>
      </c>
      <c r="B468" s="1" t="n">
        <v>44546</v>
      </c>
      <c r="C468" s="1" t="n">
        <v>45692</v>
      </c>
      <c r="D468" t="inlineStr">
        <is>
          <t>KALMAR LÄN</t>
        </is>
      </c>
      <c r="E468" t="inlineStr">
        <is>
          <t>TORSÅS</t>
        </is>
      </c>
      <c r="G468" t="n">
        <v>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18-2022</t>
        </is>
      </c>
      <c r="B469" s="1" t="n">
        <v>44564</v>
      </c>
      <c r="C469" s="1" t="n">
        <v>45692</v>
      </c>
      <c r="D469" t="inlineStr">
        <is>
          <t>KALMAR LÄN</t>
        </is>
      </c>
      <c r="E469" t="inlineStr">
        <is>
          <t>TORSÅS</t>
        </is>
      </c>
      <c r="G469" t="n">
        <v>1.4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70-2022</t>
        </is>
      </c>
      <c r="B470" s="1" t="n">
        <v>44564</v>
      </c>
      <c r="C470" s="1" t="n">
        <v>45692</v>
      </c>
      <c r="D470" t="inlineStr">
        <is>
          <t>KALMAR LÄN</t>
        </is>
      </c>
      <c r="E470" t="inlineStr">
        <is>
          <t>TORSÅS</t>
        </is>
      </c>
      <c r="G470" t="n">
        <v>5.6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937-2022</t>
        </is>
      </c>
      <c r="B471" s="1" t="n">
        <v>44568</v>
      </c>
      <c r="C471" s="1" t="n">
        <v>45692</v>
      </c>
      <c r="D471" t="inlineStr">
        <is>
          <t>KALMAR LÄN</t>
        </is>
      </c>
      <c r="E471" t="inlineStr">
        <is>
          <t>TORSÅS</t>
        </is>
      </c>
      <c r="G471" t="n">
        <v>8.5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2665-2022</t>
        </is>
      </c>
      <c r="B472" s="1" t="n">
        <v>44580</v>
      </c>
      <c r="C472" s="1" t="n">
        <v>45692</v>
      </c>
      <c r="D472" t="inlineStr">
        <is>
          <t>KALMAR LÄN</t>
        </is>
      </c>
      <c r="E472" t="inlineStr">
        <is>
          <t>TORSÅS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2668-2022</t>
        </is>
      </c>
      <c r="B473" s="1" t="n">
        <v>44580</v>
      </c>
      <c r="C473" s="1" t="n">
        <v>45692</v>
      </c>
      <c r="D473" t="inlineStr">
        <is>
          <t>KALMAR LÄN</t>
        </is>
      </c>
      <c r="E473" t="inlineStr">
        <is>
          <t>TORSÅS</t>
        </is>
      </c>
      <c r="G473" t="n">
        <v>3.3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2667-2022</t>
        </is>
      </c>
      <c r="B474" s="1" t="n">
        <v>44580</v>
      </c>
      <c r="C474" s="1" t="n">
        <v>45692</v>
      </c>
      <c r="D474" t="inlineStr">
        <is>
          <t>KALMAR LÄN</t>
        </is>
      </c>
      <c r="E474" t="inlineStr">
        <is>
          <t>TORSÅS</t>
        </is>
      </c>
      <c r="G474" t="n">
        <v>3.1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3664-2022</t>
        </is>
      </c>
      <c r="B475" s="1" t="n">
        <v>44586</v>
      </c>
      <c r="C475" s="1" t="n">
        <v>45692</v>
      </c>
      <c r="D475" t="inlineStr">
        <is>
          <t>KALMAR LÄN</t>
        </is>
      </c>
      <c r="E475" t="inlineStr">
        <is>
          <t>TORSÅS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4646-2022</t>
        </is>
      </c>
      <c r="B476" s="1" t="n">
        <v>44592</v>
      </c>
      <c r="C476" s="1" t="n">
        <v>45692</v>
      </c>
      <c r="D476" t="inlineStr">
        <is>
          <t>KALMAR LÄN</t>
        </is>
      </c>
      <c r="E476" t="inlineStr">
        <is>
          <t>TORSÅS</t>
        </is>
      </c>
      <c r="G476" t="n">
        <v>0.5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4648-2022</t>
        </is>
      </c>
      <c r="B477" s="1" t="n">
        <v>44592</v>
      </c>
      <c r="C477" s="1" t="n">
        <v>45692</v>
      </c>
      <c r="D477" t="inlineStr">
        <is>
          <t>KALMAR LÄN</t>
        </is>
      </c>
      <c r="E477" t="inlineStr">
        <is>
          <t>TORSÅS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4896-2022</t>
        </is>
      </c>
      <c r="B478" s="1" t="n">
        <v>44593</v>
      </c>
      <c r="C478" s="1" t="n">
        <v>45692</v>
      </c>
      <c r="D478" t="inlineStr">
        <is>
          <t>KALMAR LÄN</t>
        </is>
      </c>
      <c r="E478" t="inlineStr">
        <is>
          <t>TORSÅS</t>
        </is>
      </c>
      <c r="G478" t="n">
        <v>1.8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4898-2022</t>
        </is>
      </c>
      <c r="B479" s="1" t="n">
        <v>44593</v>
      </c>
      <c r="C479" s="1" t="n">
        <v>45692</v>
      </c>
      <c r="D479" t="inlineStr">
        <is>
          <t>KALMAR LÄN</t>
        </is>
      </c>
      <c r="E479" t="inlineStr">
        <is>
          <t>TORSÅS</t>
        </is>
      </c>
      <c r="G479" t="n">
        <v>3.5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4925-2022</t>
        </is>
      </c>
      <c r="B480" s="1" t="n">
        <v>44593</v>
      </c>
      <c r="C480" s="1" t="n">
        <v>45692</v>
      </c>
      <c r="D480" t="inlineStr">
        <is>
          <t>KALMAR LÄN</t>
        </is>
      </c>
      <c r="E480" t="inlineStr">
        <is>
          <t>TORSÅS</t>
        </is>
      </c>
      <c r="G480" t="n">
        <v>4.4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5544-2022</t>
        </is>
      </c>
      <c r="B481" s="1" t="n">
        <v>44595</v>
      </c>
      <c r="C481" s="1" t="n">
        <v>45692</v>
      </c>
      <c r="D481" t="inlineStr">
        <is>
          <t>KALMAR LÄN</t>
        </is>
      </c>
      <c r="E481" t="inlineStr">
        <is>
          <t>TORSÅS</t>
        </is>
      </c>
      <c r="G481" t="n">
        <v>1.3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5389-2022</t>
        </is>
      </c>
      <c r="B482" s="1" t="n">
        <v>44595</v>
      </c>
      <c r="C482" s="1" t="n">
        <v>45692</v>
      </c>
      <c r="D482" t="inlineStr">
        <is>
          <t>KALMAR LÄN</t>
        </is>
      </c>
      <c r="E482" t="inlineStr">
        <is>
          <t>TORSÅS</t>
        </is>
      </c>
      <c r="G482" t="n">
        <v>2.6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6021-2022</t>
        </is>
      </c>
      <c r="B483" s="1" t="n">
        <v>44599</v>
      </c>
      <c r="C483" s="1" t="n">
        <v>45692</v>
      </c>
      <c r="D483" t="inlineStr">
        <is>
          <t>KALMAR LÄN</t>
        </is>
      </c>
      <c r="E483" t="inlineStr">
        <is>
          <t>TORSÅS</t>
        </is>
      </c>
      <c r="G483" t="n">
        <v>1.2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6207-2022</t>
        </is>
      </c>
      <c r="B484" s="1" t="n">
        <v>44600</v>
      </c>
      <c r="C484" s="1" t="n">
        <v>45692</v>
      </c>
      <c r="D484" t="inlineStr">
        <is>
          <t>KALMAR LÄN</t>
        </is>
      </c>
      <c r="E484" t="inlineStr">
        <is>
          <t>TORSÅS</t>
        </is>
      </c>
      <c r="G484" t="n">
        <v>2.2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6225-2022</t>
        </is>
      </c>
      <c r="B485" s="1" t="n">
        <v>44600</v>
      </c>
      <c r="C485" s="1" t="n">
        <v>45692</v>
      </c>
      <c r="D485" t="inlineStr">
        <is>
          <t>KALMAR LÄN</t>
        </is>
      </c>
      <c r="E485" t="inlineStr">
        <is>
          <t>TORSÅS</t>
        </is>
      </c>
      <c r="G485" t="n">
        <v>1.5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6192-2022</t>
        </is>
      </c>
      <c r="B486" s="1" t="n">
        <v>44600</v>
      </c>
      <c r="C486" s="1" t="n">
        <v>45692</v>
      </c>
      <c r="D486" t="inlineStr">
        <is>
          <t>KALMAR LÄN</t>
        </is>
      </c>
      <c r="E486" t="inlineStr">
        <is>
          <t>TORSÅS</t>
        </is>
      </c>
      <c r="G486" t="n">
        <v>6.8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8243-2022</t>
        </is>
      </c>
      <c r="B487" s="1" t="n">
        <v>44610</v>
      </c>
      <c r="C487" s="1" t="n">
        <v>45692</v>
      </c>
      <c r="D487" t="inlineStr">
        <is>
          <t>KALMAR LÄN</t>
        </is>
      </c>
      <c r="E487" t="inlineStr">
        <is>
          <t>TORSÅS</t>
        </is>
      </c>
      <c r="G487" t="n">
        <v>1.8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8509-2022</t>
        </is>
      </c>
      <c r="B488" s="1" t="n">
        <v>44613</v>
      </c>
      <c r="C488" s="1" t="n">
        <v>45692</v>
      </c>
      <c r="D488" t="inlineStr">
        <is>
          <t>KALMAR LÄN</t>
        </is>
      </c>
      <c r="E488" t="inlineStr">
        <is>
          <t>TORSÅS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8512-2022</t>
        </is>
      </c>
      <c r="B489" s="1" t="n">
        <v>44613</v>
      </c>
      <c r="C489" s="1" t="n">
        <v>45692</v>
      </c>
      <c r="D489" t="inlineStr">
        <is>
          <t>KALMAR LÄN</t>
        </is>
      </c>
      <c r="E489" t="inlineStr">
        <is>
          <t>TORSÅS</t>
        </is>
      </c>
      <c r="G489" t="n">
        <v>2.7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8479-2022</t>
        </is>
      </c>
      <c r="B490" s="1" t="n">
        <v>44613</v>
      </c>
      <c r="C490" s="1" t="n">
        <v>45692</v>
      </c>
      <c r="D490" t="inlineStr">
        <is>
          <t>KALMAR LÄN</t>
        </is>
      </c>
      <c r="E490" t="inlineStr">
        <is>
          <t>TORSÅS</t>
        </is>
      </c>
      <c r="G490" t="n">
        <v>1.2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10037-2022</t>
        </is>
      </c>
      <c r="B491" s="1" t="n">
        <v>44621</v>
      </c>
      <c r="C491" s="1" t="n">
        <v>45692</v>
      </c>
      <c r="D491" t="inlineStr">
        <is>
          <t>KALMAR LÄN</t>
        </is>
      </c>
      <c r="E491" t="inlineStr">
        <is>
          <t>TORSÅS</t>
        </is>
      </c>
      <c r="G491" t="n">
        <v>27.2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12056-2022</t>
        </is>
      </c>
      <c r="B492" s="1" t="n">
        <v>44636</v>
      </c>
      <c r="C492" s="1" t="n">
        <v>45692</v>
      </c>
      <c r="D492" t="inlineStr">
        <is>
          <t>KALMAR LÄN</t>
        </is>
      </c>
      <c r="E492" t="inlineStr">
        <is>
          <t>TORSÅS</t>
        </is>
      </c>
      <c r="G492" t="n">
        <v>1.2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12060-2022</t>
        </is>
      </c>
      <c r="B493" s="1" t="n">
        <v>44636</v>
      </c>
      <c r="C493" s="1" t="n">
        <v>45692</v>
      </c>
      <c r="D493" t="inlineStr">
        <is>
          <t>KALMAR LÄN</t>
        </is>
      </c>
      <c r="E493" t="inlineStr">
        <is>
          <t>TORSÅS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12057-2022</t>
        </is>
      </c>
      <c r="B494" s="1" t="n">
        <v>44636</v>
      </c>
      <c r="C494" s="1" t="n">
        <v>45692</v>
      </c>
      <c r="D494" t="inlineStr">
        <is>
          <t>KALMAR LÄN</t>
        </is>
      </c>
      <c r="E494" t="inlineStr">
        <is>
          <t>TORSÅS</t>
        </is>
      </c>
      <c r="G494" t="n">
        <v>3.8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12062-2022</t>
        </is>
      </c>
      <c r="B495" s="1" t="n">
        <v>44636</v>
      </c>
      <c r="C495" s="1" t="n">
        <v>45692</v>
      </c>
      <c r="D495" t="inlineStr">
        <is>
          <t>KALMAR LÄN</t>
        </is>
      </c>
      <c r="E495" t="inlineStr">
        <is>
          <t>TORSÅS</t>
        </is>
      </c>
      <c r="G495" t="n">
        <v>4.1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12232-2022</t>
        </is>
      </c>
      <c r="B496" s="1" t="n">
        <v>44637</v>
      </c>
      <c r="C496" s="1" t="n">
        <v>45692</v>
      </c>
      <c r="D496" t="inlineStr">
        <is>
          <t>KALMAR LÄN</t>
        </is>
      </c>
      <c r="E496" t="inlineStr">
        <is>
          <t>TORSÅS</t>
        </is>
      </c>
      <c r="G496" t="n">
        <v>3.2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12240-2022</t>
        </is>
      </c>
      <c r="B497" s="1" t="n">
        <v>44637</v>
      </c>
      <c r="C497" s="1" t="n">
        <v>45692</v>
      </c>
      <c r="D497" t="inlineStr">
        <is>
          <t>KALMAR LÄN</t>
        </is>
      </c>
      <c r="E497" t="inlineStr">
        <is>
          <t>TORSÅS</t>
        </is>
      </c>
      <c r="G497" t="n">
        <v>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12591-2022</t>
        </is>
      </c>
      <c r="B498" s="1" t="n">
        <v>44640</v>
      </c>
      <c r="C498" s="1" t="n">
        <v>45692</v>
      </c>
      <c r="D498" t="inlineStr">
        <is>
          <t>KALMAR LÄN</t>
        </is>
      </c>
      <c r="E498" t="inlineStr">
        <is>
          <t>TORSÅS</t>
        </is>
      </c>
      <c r="G498" t="n">
        <v>1.4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14139-2022</t>
        </is>
      </c>
      <c r="B499" s="1" t="n">
        <v>44651</v>
      </c>
      <c r="C499" s="1" t="n">
        <v>45692</v>
      </c>
      <c r="D499" t="inlineStr">
        <is>
          <t>KALMAR LÄN</t>
        </is>
      </c>
      <c r="E499" t="inlineStr">
        <is>
          <t>TORSÅS</t>
        </is>
      </c>
      <c r="G499" t="n">
        <v>0.6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14383-2022</t>
        </is>
      </c>
      <c r="B500" s="1" t="n">
        <v>44652</v>
      </c>
      <c r="C500" s="1" t="n">
        <v>45692</v>
      </c>
      <c r="D500" t="inlineStr">
        <is>
          <t>KALMAR LÄN</t>
        </is>
      </c>
      <c r="E500" t="inlineStr">
        <is>
          <t>TORSÅS</t>
        </is>
      </c>
      <c r="G500" t="n">
        <v>3.1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14937-2022</t>
        </is>
      </c>
      <c r="B501" s="1" t="n">
        <v>44657</v>
      </c>
      <c r="C501" s="1" t="n">
        <v>45692</v>
      </c>
      <c r="D501" t="inlineStr">
        <is>
          <t>KALMAR LÄN</t>
        </is>
      </c>
      <c r="E501" t="inlineStr">
        <is>
          <t>TORSÅS</t>
        </is>
      </c>
      <c r="G501" t="n">
        <v>1.5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14976-2022</t>
        </is>
      </c>
      <c r="B502" s="1" t="n">
        <v>44657</v>
      </c>
      <c r="C502" s="1" t="n">
        <v>45692</v>
      </c>
      <c r="D502" t="inlineStr">
        <is>
          <t>KALMAR LÄN</t>
        </is>
      </c>
      <c r="E502" t="inlineStr">
        <is>
          <t>TORSÅS</t>
        </is>
      </c>
      <c r="G502" t="n">
        <v>1.6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15109-2022</t>
        </is>
      </c>
      <c r="B503" s="1" t="n">
        <v>44658</v>
      </c>
      <c r="C503" s="1" t="n">
        <v>45692</v>
      </c>
      <c r="D503" t="inlineStr">
        <is>
          <t>KALMAR LÄN</t>
        </is>
      </c>
      <c r="E503" t="inlineStr">
        <is>
          <t>TORSÅS</t>
        </is>
      </c>
      <c r="G503" t="n">
        <v>0.4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16281-2022</t>
        </is>
      </c>
      <c r="B504" s="1" t="n">
        <v>44670</v>
      </c>
      <c r="C504" s="1" t="n">
        <v>45692</v>
      </c>
      <c r="D504" t="inlineStr">
        <is>
          <t>KALMAR LÄN</t>
        </is>
      </c>
      <c r="E504" t="inlineStr">
        <is>
          <t>TORSÅS</t>
        </is>
      </c>
      <c r="G504" t="n">
        <v>2.4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16446-2022</t>
        </is>
      </c>
      <c r="B505" s="1" t="n">
        <v>44671</v>
      </c>
      <c r="C505" s="1" t="n">
        <v>45692</v>
      </c>
      <c r="D505" t="inlineStr">
        <is>
          <t>KALMAR LÄN</t>
        </is>
      </c>
      <c r="E505" t="inlineStr">
        <is>
          <t>TORSÅS</t>
        </is>
      </c>
      <c r="G505" t="n">
        <v>1.1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17523-2022</t>
        </is>
      </c>
      <c r="B506" s="1" t="n">
        <v>44679</v>
      </c>
      <c r="C506" s="1" t="n">
        <v>45692</v>
      </c>
      <c r="D506" t="inlineStr">
        <is>
          <t>KALMAR LÄN</t>
        </is>
      </c>
      <c r="E506" t="inlineStr">
        <is>
          <t>TORSÅS</t>
        </is>
      </c>
      <c r="G506" t="n">
        <v>2.6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17819-2022</t>
        </is>
      </c>
      <c r="B507" s="1" t="n">
        <v>44683</v>
      </c>
      <c r="C507" s="1" t="n">
        <v>45692</v>
      </c>
      <c r="D507" t="inlineStr">
        <is>
          <t>KALMAR LÄN</t>
        </is>
      </c>
      <c r="E507" t="inlineStr">
        <is>
          <t>TORSÅS</t>
        </is>
      </c>
      <c r="G507" t="n">
        <v>1.3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17820-2022</t>
        </is>
      </c>
      <c r="B508" s="1" t="n">
        <v>44683</v>
      </c>
      <c r="C508" s="1" t="n">
        <v>45692</v>
      </c>
      <c r="D508" t="inlineStr">
        <is>
          <t>KALMAR LÄN</t>
        </is>
      </c>
      <c r="E508" t="inlineStr">
        <is>
          <t>TORSÅS</t>
        </is>
      </c>
      <c r="G508" t="n">
        <v>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19714-2022</t>
        </is>
      </c>
      <c r="B509" s="1" t="n">
        <v>44694</v>
      </c>
      <c r="C509" s="1" t="n">
        <v>45692</v>
      </c>
      <c r="D509" t="inlineStr">
        <is>
          <t>KALMAR LÄN</t>
        </is>
      </c>
      <c r="E509" t="inlineStr">
        <is>
          <t>TORSÅS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21577-2022</t>
        </is>
      </c>
      <c r="B510" s="1" t="n">
        <v>44706</v>
      </c>
      <c r="C510" s="1" t="n">
        <v>45692</v>
      </c>
      <c r="D510" t="inlineStr">
        <is>
          <t>KALMAR LÄN</t>
        </is>
      </c>
      <c r="E510" t="inlineStr">
        <is>
          <t>TORSÅS</t>
        </is>
      </c>
      <c r="G510" t="n">
        <v>8.300000000000001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21889-2022</t>
        </is>
      </c>
      <c r="B511" s="1" t="n">
        <v>44711</v>
      </c>
      <c r="C511" s="1" t="n">
        <v>45692</v>
      </c>
      <c r="D511" t="inlineStr">
        <is>
          <t>KALMAR LÄN</t>
        </is>
      </c>
      <c r="E511" t="inlineStr">
        <is>
          <t>TORSÅS</t>
        </is>
      </c>
      <c r="G511" t="n">
        <v>0.7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23776-2022</t>
        </is>
      </c>
      <c r="B512" s="1" t="n">
        <v>44722</v>
      </c>
      <c r="C512" s="1" t="n">
        <v>45692</v>
      </c>
      <c r="D512" t="inlineStr">
        <is>
          <t>KALMAR LÄN</t>
        </is>
      </c>
      <c r="E512" t="inlineStr">
        <is>
          <t>TORSÅS</t>
        </is>
      </c>
      <c r="G512" t="n">
        <v>1.6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24159-2022</t>
        </is>
      </c>
      <c r="B513" s="1" t="n">
        <v>44725</v>
      </c>
      <c r="C513" s="1" t="n">
        <v>45692</v>
      </c>
      <c r="D513" t="inlineStr">
        <is>
          <t>KALMAR LÄN</t>
        </is>
      </c>
      <c r="E513" t="inlineStr">
        <is>
          <t>TORSÅS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24157-2022</t>
        </is>
      </c>
      <c r="B514" s="1" t="n">
        <v>44725</v>
      </c>
      <c r="C514" s="1" t="n">
        <v>45692</v>
      </c>
      <c r="D514" t="inlineStr">
        <is>
          <t>KALMAR LÄN</t>
        </is>
      </c>
      <c r="E514" t="inlineStr">
        <is>
          <t>TORSÅS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24148-2022</t>
        </is>
      </c>
      <c r="B515" s="1" t="n">
        <v>44725</v>
      </c>
      <c r="C515" s="1" t="n">
        <v>45692</v>
      </c>
      <c r="D515" t="inlineStr">
        <is>
          <t>KALMAR LÄN</t>
        </is>
      </c>
      <c r="E515" t="inlineStr">
        <is>
          <t>TORSÅS</t>
        </is>
      </c>
      <c r="G515" t="n">
        <v>1.3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26459-2022</t>
        </is>
      </c>
      <c r="B516" s="1" t="n">
        <v>44739</v>
      </c>
      <c r="C516" s="1" t="n">
        <v>45692</v>
      </c>
      <c r="D516" t="inlineStr">
        <is>
          <t>KALMAR LÄN</t>
        </is>
      </c>
      <c r="E516" t="inlineStr">
        <is>
          <t>TORSÅS</t>
        </is>
      </c>
      <c r="G516" t="n">
        <v>7.7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26515-2022</t>
        </is>
      </c>
      <c r="B517" s="1" t="n">
        <v>44739</v>
      </c>
      <c r="C517" s="1" t="n">
        <v>45692</v>
      </c>
      <c r="D517" t="inlineStr">
        <is>
          <t>KALMAR LÄN</t>
        </is>
      </c>
      <c r="E517" t="inlineStr">
        <is>
          <t>TORSÅS</t>
        </is>
      </c>
      <c r="G517" t="n">
        <v>1.3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26491-2022</t>
        </is>
      </c>
      <c r="B518" s="1" t="n">
        <v>44739</v>
      </c>
      <c r="C518" s="1" t="n">
        <v>45692</v>
      </c>
      <c r="D518" t="inlineStr">
        <is>
          <t>KALMAR LÄN</t>
        </is>
      </c>
      <c r="E518" t="inlineStr">
        <is>
          <t>TORSÅS</t>
        </is>
      </c>
      <c r="G518" t="n">
        <v>3.8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26460-2022</t>
        </is>
      </c>
      <c r="B519" s="1" t="n">
        <v>44739</v>
      </c>
      <c r="C519" s="1" t="n">
        <v>45692</v>
      </c>
      <c r="D519" t="inlineStr">
        <is>
          <t>KALMAR LÄN</t>
        </is>
      </c>
      <c r="E519" t="inlineStr">
        <is>
          <t>TORSÅS</t>
        </is>
      </c>
      <c r="G519" t="n">
        <v>3.2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26828-2022</t>
        </is>
      </c>
      <c r="B520" s="1" t="n">
        <v>44740</v>
      </c>
      <c r="C520" s="1" t="n">
        <v>45692</v>
      </c>
      <c r="D520" t="inlineStr">
        <is>
          <t>KALMAR LÄN</t>
        </is>
      </c>
      <c r="E520" t="inlineStr">
        <is>
          <t>TORSÅS</t>
        </is>
      </c>
      <c r="G520" t="n">
        <v>1.8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27217-2022</t>
        </is>
      </c>
      <c r="B521" s="1" t="n">
        <v>44741</v>
      </c>
      <c r="C521" s="1" t="n">
        <v>45692</v>
      </c>
      <c r="D521" t="inlineStr">
        <is>
          <t>KALMAR LÄN</t>
        </is>
      </c>
      <c r="E521" t="inlineStr">
        <is>
          <t>TORSÅS</t>
        </is>
      </c>
      <c r="G521" t="n">
        <v>1.6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27257-2022</t>
        </is>
      </c>
      <c r="B522" s="1" t="n">
        <v>44741</v>
      </c>
      <c r="C522" s="1" t="n">
        <v>45692</v>
      </c>
      <c r="D522" t="inlineStr">
        <is>
          <t>KALMAR LÄN</t>
        </is>
      </c>
      <c r="E522" t="inlineStr">
        <is>
          <t>TORSÅS</t>
        </is>
      </c>
      <c r="G522" t="n">
        <v>3.2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28592-2022</t>
        </is>
      </c>
      <c r="B523" s="1" t="n">
        <v>44748</v>
      </c>
      <c r="C523" s="1" t="n">
        <v>45692</v>
      </c>
      <c r="D523" t="inlineStr">
        <is>
          <t>KALMAR LÄN</t>
        </is>
      </c>
      <c r="E523" t="inlineStr">
        <is>
          <t>TORSÅS</t>
        </is>
      </c>
      <c r="G523" t="n">
        <v>0.1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30647-2022</t>
        </is>
      </c>
      <c r="B524" s="1" t="n">
        <v>44763</v>
      </c>
      <c r="C524" s="1" t="n">
        <v>45692</v>
      </c>
      <c r="D524" t="inlineStr">
        <is>
          <t>KALMAR LÄN</t>
        </is>
      </c>
      <c r="E524" t="inlineStr">
        <is>
          <t>TORSÅS</t>
        </is>
      </c>
      <c r="G524" t="n">
        <v>0.5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30648-2022</t>
        </is>
      </c>
      <c r="B525" s="1" t="n">
        <v>44763</v>
      </c>
      <c r="C525" s="1" t="n">
        <v>45692</v>
      </c>
      <c r="D525" t="inlineStr">
        <is>
          <t>KALMAR LÄN</t>
        </is>
      </c>
      <c r="E525" t="inlineStr">
        <is>
          <t>TORSÅS</t>
        </is>
      </c>
      <c r="G525" t="n">
        <v>2.4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31760-2022</t>
        </is>
      </c>
      <c r="B526" s="1" t="n">
        <v>44776</v>
      </c>
      <c r="C526" s="1" t="n">
        <v>45692</v>
      </c>
      <c r="D526" t="inlineStr">
        <is>
          <t>KALMAR LÄN</t>
        </is>
      </c>
      <c r="E526" t="inlineStr">
        <is>
          <t>TORSÅS</t>
        </is>
      </c>
      <c r="G526" t="n">
        <v>1.1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33364-2022</t>
        </is>
      </c>
      <c r="B527" s="1" t="n">
        <v>44788</v>
      </c>
      <c r="C527" s="1" t="n">
        <v>45692</v>
      </c>
      <c r="D527" t="inlineStr">
        <is>
          <t>KALMAR LÄN</t>
        </is>
      </c>
      <c r="E527" t="inlineStr">
        <is>
          <t>TORSÅS</t>
        </is>
      </c>
      <c r="G527" t="n">
        <v>4.3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33390-2022</t>
        </is>
      </c>
      <c r="B528" s="1" t="n">
        <v>44788</v>
      </c>
      <c r="C528" s="1" t="n">
        <v>45692</v>
      </c>
      <c r="D528" t="inlineStr">
        <is>
          <t>KALMAR LÄN</t>
        </is>
      </c>
      <c r="E528" t="inlineStr">
        <is>
          <t>TORSÅS</t>
        </is>
      </c>
      <c r="G528" t="n">
        <v>3.2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33939-2022</t>
        </is>
      </c>
      <c r="B529" s="1" t="n">
        <v>44790</v>
      </c>
      <c r="C529" s="1" t="n">
        <v>45692</v>
      </c>
      <c r="D529" t="inlineStr">
        <is>
          <t>KALMAR LÄN</t>
        </is>
      </c>
      <c r="E529" t="inlineStr">
        <is>
          <t>TORSÅS</t>
        </is>
      </c>
      <c r="G529" t="n">
        <v>1.5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34622-2022</t>
        </is>
      </c>
      <c r="B530" s="1" t="n">
        <v>44795</v>
      </c>
      <c r="C530" s="1" t="n">
        <v>45692</v>
      </c>
      <c r="D530" t="inlineStr">
        <is>
          <t>KALMAR LÄN</t>
        </is>
      </c>
      <c r="E530" t="inlineStr">
        <is>
          <t>TORSÅS</t>
        </is>
      </c>
      <c r="G530" t="n">
        <v>0.5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34630-2022</t>
        </is>
      </c>
      <c r="B531" s="1" t="n">
        <v>44795</v>
      </c>
      <c r="C531" s="1" t="n">
        <v>45692</v>
      </c>
      <c r="D531" t="inlineStr">
        <is>
          <t>KALMAR LÄN</t>
        </is>
      </c>
      <c r="E531" t="inlineStr">
        <is>
          <t>TORSÅS</t>
        </is>
      </c>
      <c r="G531" t="n">
        <v>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34623-2022</t>
        </is>
      </c>
      <c r="B532" s="1" t="n">
        <v>44795</v>
      </c>
      <c r="C532" s="1" t="n">
        <v>45692</v>
      </c>
      <c r="D532" t="inlineStr">
        <is>
          <t>KALMAR LÄN</t>
        </is>
      </c>
      <c r="E532" t="inlineStr">
        <is>
          <t>TORSÅS</t>
        </is>
      </c>
      <c r="G532" t="n">
        <v>0.6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34638-2022</t>
        </is>
      </c>
      <c r="B533" s="1" t="n">
        <v>44795</v>
      </c>
      <c r="C533" s="1" t="n">
        <v>45692</v>
      </c>
      <c r="D533" t="inlineStr">
        <is>
          <t>KALMAR LÄN</t>
        </is>
      </c>
      <c r="E533" t="inlineStr">
        <is>
          <t>TORSÅS</t>
        </is>
      </c>
      <c r="G533" t="n">
        <v>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34636-2022</t>
        </is>
      </c>
      <c r="B534" s="1" t="n">
        <v>44795</v>
      </c>
      <c r="C534" s="1" t="n">
        <v>45692</v>
      </c>
      <c r="D534" t="inlineStr">
        <is>
          <t>KALMAR LÄN</t>
        </is>
      </c>
      <c r="E534" t="inlineStr">
        <is>
          <t>TORSÅS</t>
        </is>
      </c>
      <c r="G534" t="n">
        <v>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34825-2022</t>
        </is>
      </c>
      <c r="B535" s="1" t="n">
        <v>44795</v>
      </c>
      <c r="C535" s="1" t="n">
        <v>45692</v>
      </c>
      <c r="D535" t="inlineStr">
        <is>
          <t>KALMAR LÄN</t>
        </is>
      </c>
      <c r="E535" t="inlineStr">
        <is>
          <t>TORSÅS</t>
        </is>
      </c>
      <c r="G535" t="n">
        <v>0.7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35211-2022</t>
        </is>
      </c>
      <c r="B536" s="1" t="n">
        <v>44797</v>
      </c>
      <c r="C536" s="1" t="n">
        <v>45692</v>
      </c>
      <c r="D536" t="inlineStr">
        <is>
          <t>KALMAR LÄN</t>
        </is>
      </c>
      <c r="E536" t="inlineStr">
        <is>
          <t>TORSÅS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35620-2022</t>
        </is>
      </c>
      <c r="B537" s="1" t="n">
        <v>44799</v>
      </c>
      <c r="C537" s="1" t="n">
        <v>45692</v>
      </c>
      <c r="D537" t="inlineStr">
        <is>
          <t>KALMAR LÄN</t>
        </is>
      </c>
      <c r="E537" t="inlineStr">
        <is>
          <t>TORSÅS</t>
        </is>
      </c>
      <c r="G537" t="n">
        <v>3.3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37968-2022</t>
        </is>
      </c>
      <c r="B538" s="1" t="n">
        <v>44811</v>
      </c>
      <c r="C538" s="1" t="n">
        <v>45692</v>
      </c>
      <c r="D538" t="inlineStr">
        <is>
          <t>KALMAR LÄN</t>
        </is>
      </c>
      <c r="E538" t="inlineStr">
        <is>
          <t>TORSÅS</t>
        </is>
      </c>
      <c r="G538" t="n">
        <v>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37966-2022</t>
        </is>
      </c>
      <c r="B539" s="1" t="n">
        <v>44811</v>
      </c>
      <c r="C539" s="1" t="n">
        <v>45692</v>
      </c>
      <c r="D539" t="inlineStr">
        <is>
          <t>KALMAR LÄN</t>
        </is>
      </c>
      <c r="E539" t="inlineStr">
        <is>
          <t>TORSÅS</t>
        </is>
      </c>
      <c r="G539" t="n">
        <v>0.5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38147-2022</t>
        </is>
      </c>
      <c r="B540" s="1" t="n">
        <v>44812</v>
      </c>
      <c r="C540" s="1" t="n">
        <v>45692</v>
      </c>
      <c r="D540" t="inlineStr">
        <is>
          <t>KALMAR LÄN</t>
        </is>
      </c>
      <c r="E540" t="inlineStr">
        <is>
          <t>TORSÅS</t>
        </is>
      </c>
      <c r="G540" t="n">
        <v>2.9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38151-2022</t>
        </is>
      </c>
      <c r="B541" s="1" t="n">
        <v>44812</v>
      </c>
      <c r="C541" s="1" t="n">
        <v>45692</v>
      </c>
      <c r="D541" t="inlineStr">
        <is>
          <t>KALMAR LÄN</t>
        </is>
      </c>
      <c r="E541" t="inlineStr">
        <is>
          <t>TORSÅS</t>
        </is>
      </c>
      <c r="G541" t="n">
        <v>1.9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38789-2022</t>
        </is>
      </c>
      <c r="B542" s="1" t="n">
        <v>44816</v>
      </c>
      <c r="C542" s="1" t="n">
        <v>45692</v>
      </c>
      <c r="D542" t="inlineStr">
        <is>
          <t>KALMAR LÄN</t>
        </is>
      </c>
      <c r="E542" t="inlineStr">
        <is>
          <t>TORSÅS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39616-2022</t>
        </is>
      </c>
      <c r="B543" s="1" t="n">
        <v>44818</v>
      </c>
      <c r="C543" s="1" t="n">
        <v>45692</v>
      </c>
      <c r="D543" t="inlineStr">
        <is>
          <t>KALMAR LÄN</t>
        </is>
      </c>
      <c r="E543" t="inlineStr">
        <is>
          <t>TORSÅS</t>
        </is>
      </c>
      <c r="G543" t="n">
        <v>2.8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41452-2022</t>
        </is>
      </c>
      <c r="B544" s="1" t="n">
        <v>44826</v>
      </c>
      <c r="C544" s="1" t="n">
        <v>45692</v>
      </c>
      <c r="D544" t="inlineStr">
        <is>
          <t>KALMAR LÄN</t>
        </is>
      </c>
      <c r="E544" t="inlineStr">
        <is>
          <t>TORSÅS</t>
        </is>
      </c>
      <c r="G544" t="n">
        <v>1.3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41566-2022</t>
        </is>
      </c>
      <c r="B545" s="1" t="n">
        <v>44827</v>
      </c>
      <c r="C545" s="1" t="n">
        <v>45692</v>
      </c>
      <c r="D545" t="inlineStr">
        <is>
          <t>KALMAR LÄN</t>
        </is>
      </c>
      <c r="E545" t="inlineStr">
        <is>
          <t>TORSÅS</t>
        </is>
      </c>
      <c r="G545" t="n">
        <v>3.2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41572-2022</t>
        </is>
      </c>
      <c r="B546" s="1" t="n">
        <v>44827</v>
      </c>
      <c r="C546" s="1" t="n">
        <v>45692</v>
      </c>
      <c r="D546" t="inlineStr">
        <is>
          <t>KALMAR LÄN</t>
        </is>
      </c>
      <c r="E546" t="inlineStr">
        <is>
          <t>TORSÅS</t>
        </is>
      </c>
      <c r="G546" t="n">
        <v>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42065-2022</t>
        </is>
      </c>
      <c r="B547" s="1" t="n">
        <v>44830</v>
      </c>
      <c r="C547" s="1" t="n">
        <v>45692</v>
      </c>
      <c r="D547" t="inlineStr">
        <is>
          <t>KALMAR LÄN</t>
        </is>
      </c>
      <c r="E547" t="inlineStr">
        <is>
          <t>TORSÅS</t>
        </is>
      </c>
      <c r="G547" t="n">
        <v>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43575-2022</t>
        </is>
      </c>
      <c r="B548" s="1" t="n">
        <v>44837</v>
      </c>
      <c r="C548" s="1" t="n">
        <v>45692</v>
      </c>
      <c r="D548" t="inlineStr">
        <is>
          <t>KALMAR LÄN</t>
        </is>
      </c>
      <c r="E548" t="inlineStr">
        <is>
          <t>TORSÅS</t>
        </is>
      </c>
      <c r="G548" t="n">
        <v>0.6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44117-2022</t>
        </is>
      </c>
      <c r="B549" s="1" t="n">
        <v>44839</v>
      </c>
      <c r="C549" s="1" t="n">
        <v>45692</v>
      </c>
      <c r="D549" t="inlineStr">
        <is>
          <t>KALMAR LÄN</t>
        </is>
      </c>
      <c r="E549" t="inlineStr">
        <is>
          <t>TORSÅS</t>
        </is>
      </c>
      <c r="G549" t="n">
        <v>1.8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44583-2022</t>
        </is>
      </c>
      <c r="B550" s="1" t="n">
        <v>44840</v>
      </c>
      <c r="C550" s="1" t="n">
        <v>45692</v>
      </c>
      <c r="D550" t="inlineStr">
        <is>
          <t>KALMAR LÄN</t>
        </is>
      </c>
      <c r="E550" t="inlineStr">
        <is>
          <t>TORSÅS</t>
        </is>
      </c>
      <c r="G550" t="n">
        <v>2.1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44580-2022</t>
        </is>
      </c>
      <c r="B551" s="1" t="n">
        <v>44840</v>
      </c>
      <c r="C551" s="1" t="n">
        <v>45692</v>
      </c>
      <c r="D551" t="inlineStr">
        <is>
          <t>KALMAR LÄN</t>
        </is>
      </c>
      <c r="E551" t="inlineStr">
        <is>
          <t>TORSÅS</t>
        </is>
      </c>
      <c r="G551" t="n">
        <v>0.7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44839-2022</t>
        </is>
      </c>
      <c r="B552" s="1" t="n">
        <v>44841</v>
      </c>
      <c r="C552" s="1" t="n">
        <v>45692</v>
      </c>
      <c r="D552" t="inlineStr">
        <is>
          <t>KALMAR LÄN</t>
        </is>
      </c>
      <c r="E552" t="inlineStr">
        <is>
          <t>TORSÅS</t>
        </is>
      </c>
      <c r="G552" t="n">
        <v>1.3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45490-2022</t>
        </is>
      </c>
      <c r="B553" s="1" t="n">
        <v>44845</v>
      </c>
      <c r="C553" s="1" t="n">
        <v>45692</v>
      </c>
      <c r="D553" t="inlineStr">
        <is>
          <t>KALMAR LÄN</t>
        </is>
      </c>
      <c r="E553" t="inlineStr">
        <is>
          <t>TORSÅS</t>
        </is>
      </c>
      <c r="G553" t="n">
        <v>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45580-2022</t>
        </is>
      </c>
      <c r="B554" s="1" t="n">
        <v>44845</v>
      </c>
      <c r="C554" s="1" t="n">
        <v>45692</v>
      </c>
      <c r="D554" t="inlineStr">
        <is>
          <t>KALMAR LÄN</t>
        </is>
      </c>
      <c r="E554" t="inlineStr">
        <is>
          <t>TORSÅS</t>
        </is>
      </c>
      <c r="G554" t="n">
        <v>3.4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45796-2022</t>
        </is>
      </c>
      <c r="B555" s="1" t="n">
        <v>44846</v>
      </c>
      <c r="C555" s="1" t="n">
        <v>45692</v>
      </c>
      <c r="D555" t="inlineStr">
        <is>
          <t>KALMAR LÄN</t>
        </is>
      </c>
      <c r="E555" t="inlineStr">
        <is>
          <t>TORSÅS</t>
        </is>
      </c>
      <c r="G555" t="n">
        <v>2.4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45798-2022</t>
        </is>
      </c>
      <c r="B556" s="1" t="n">
        <v>44846</v>
      </c>
      <c r="C556" s="1" t="n">
        <v>45692</v>
      </c>
      <c r="D556" t="inlineStr">
        <is>
          <t>KALMAR LÄN</t>
        </is>
      </c>
      <c r="E556" t="inlineStr">
        <is>
          <t>TORSÅS</t>
        </is>
      </c>
      <c r="G556" t="n">
        <v>0.5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46640-2022</t>
        </is>
      </c>
      <c r="B557" s="1" t="n">
        <v>44849</v>
      </c>
      <c r="C557" s="1" t="n">
        <v>45692</v>
      </c>
      <c r="D557" t="inlineStr">
        <is>
          <t>KALMAR LÄN</t>
        </is>
      </c>
      <c r="E557" t="inlineStr">
        <is>
          <t>TORSÅS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46751-2022</t>
        </is>
      </c>
      <c r="B558" s="1" t="n">
        <v>44851</v>
      </c>
      <c r="C558" s="1" t="n">
        <v>45692</v>
      </c>
      <c r="D558" t="inlineStr">
        <is>
          <t>KALMAR LÄN</t>
        </is>
      </c>
      <c r="E558" t="inlineStr">
        <is>
          <t>TORSÅS</t>
        </is>
      </c>
      <c r="G558" t="n">
        <v>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47224-2022</t>
        </is>
      </c>
      <c r="B559" s="1" t="n">
        <v>44852</v>
      </c>
      <c r="C559" s="1" t="n">
        <v>45692</v>
      </c>
      <c r="D559" t="inlineStr">
        <is>
          <t>KALMAR LÄN</t>
        </is>
      </c>
      <c r="E559" t="inlineStr">
        <is>
          <t>TORSÅS</t>
        </is>
      </c>
      <c r="G559" t="n">
        <v>1.4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47318-2022</t>
        </is>
      </c>
      <c r="B560" s="1" t="n">
        <v>44853</v>
      </c>
      <c r="C560" s="1" t="n">
        <v>45692</v>
      </c>
      <c r="D560" t="inlineStr">
        <is>
          <t>KALMAR LÄN</t>
        </is>
      </c>
      <c r="E560" t="inlineStr">
        <is>
          <t>TORSÅS</t>
        </is>
      </c>
      <c r="G560" t="n">
        <v>6.4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49327-2022</t>
        </is>
      </c>
      <c r="B561" s="1" t="n">
        <v>44861</v>
      </c>
      <c r="C561" s="1" t="n">
        <v>45692</v>
      </c>
      <c r="D561" t="inlineStr">
        <is>
          <t>KALMAR LÄN</t>
        </is>
      </c>
      <c r="E561" t="inlineStr">
        <is>
          <t>TORSÅS</t>
        </is>
      </c>
      <c r="G561" t="n">
        <v>0.7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49330-2022</t>
        </is>
      </c>
      <c r="B562" s="1" t="n">
        <v>44861</v>
      </c>
      <c r="C562" s="1" t="n">
        <v>45692</v>
      </c>
      <c r="D562" t="inlineStr">
        <is>
          <t>KALMAR LÄN</t>
        </is>
      </c>
      <c r="E562" t="inlineStr">
        <is>
          <t>TORSÅS</t>
        </is>
      </c>
      <c r="G562" t="n">
        <v>0.7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49331-2022</t>
        </is>
      </c>
      <c r="B563" s="1" t="n">
        <v>44861</v>
      </c>
      <c r="C563" s="1" t="n">
        <v>45692</v>
      </c>
      <c r="D563" t="inlineStr">
        <is>
          <t>KALMAR LÄN</t>
        </is>
      </c>
      <c r="E563" t="inlineStr">
        <is>
          <t>TORSÅS</t>
        </is>
      </c>
      <c r="G563" t="n">
        <v>1.7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49683-2022</t>
        </is>
      </c>
      <c r="B564" s="1" t="n">
        <v>44862</v>
      </c>
      <c r="C564" s="1" t="n">
        <v>45692</v>
      </c>
      <c r="D564" t="inlineStr">
        <is>
          <t>KALMAR LÄN</t>
        </is>
      </c>
      <c r="E564" t="inlineStr">
        <is>
          <t>TORSÅS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50112-2022</t>
        </is>
      </c>
      <c r="B565" s="1" t="n">
        <v>44865</v>
      </c>
      <c r="C565" s="1" t="n">
        <v>45692</v>
      </c>
      <c r="D565" t="inlineStr">
        <is>
          <t>KALMAR LÄN</t>
        </is>
      </c>
      <c r="E565" t="inlineStr">
        <is>
          <t>TORSÅS</t>
        </is>
      </c>
      <c r="G565" t="n">
        <v>0.9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51211-2022</t>
        </is>
      </c>
      <c r="B566" s="1" t="n">
        <v>44865</v>
      </c>
      <c r="C566" s="1" t="n">
        <v>45692</v>
      </c>
      <c r="D566" t="inlineStr">
        <is>
          <t>KALMAR LÄN</t>
        </is>
      </c>
      <c r="E566" t="inlineStr">
        <is>
          <t>TORSÅS</t>
        </is>
      </c>
      <c r="G566" t="n">
        <v>6.5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51991-2022</t>
        </is>
      </c>
      <c r="B567" s="1" t="n">
        <v>44872</v>
      </c>
      <c r="C567" s="1" t="n">
        <v>45692</v>
      </c>
      <c r="D567" t="inlineStr">
        <is>
          <t>KALMAR LÄN</t>
        </is>
      </c>
      <c r="E567" t="inlineStr">
        <is>
          <t>TORSÅS</t>
        </is>
      </c>
      <c r="G567" t="n">
        <v>2.9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51989-2022</t>
        </is>
      </c>
      <c r="B568" s="1" t="n">
        <v>44872</v>
      </c>
      <c r="C568" s="1" t="n">
        <v>45692</v>
      </c>
      <c r="D568" t="inlineStr">
        <is>
          <t>KALMAR LÄN</t>
        </is>
      </c>
      <c r="E568" t="inlineStr">
        <is>
          <t>TORSÅS</t>
        </is>
      </c>
      <c r="G568" t="n">
        <v>0.6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51990-2022</t>
        </is>
      </c>
      <c r="B569" s="1" t="n">
        <v>44872</v>
      </c>
      <c r="C569" s="1" t="n">
        <v>45692</v>
      </c>
      <c r="D569" t="inlineStr">
        <is>
          <t>KALMAR LÄN</t>
        </is>
      </c>
      <c r="E569" t="inlineStr">
        <is>
          <t>TORSÅS</t>
        </is>
      </c>
      <c r="G569" t="n">
        <v>0.8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53367-2022</t>
        </is>
      </c>
      <c r="B570" s="1" t="n">
        <v>44879</v>
      </c>
      <c r="C570" s="1" t="n">
        <v>45692</v>
      </c>
      <c r="D570" t="inlineStr">
        <is>
          <t>KALMAR LÄN</t>
        </is>
      </c>
      <c r="E570" t="inlineStr">
        <is>
          <t>TORSÅS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53410-2022</t>
        </is>
      </c>
      <c r="B571" s="1" t="n">
        <v>44879</v>
      </c>
      <c r="C571" s="1" t="n">
        <v>45692</v>
      </c>
      <c r="D571" t="inlineStr">
        <is>
          <t>KALMAR LÄN</t>
        </is>
      </c>
      <c r="E571" t="inlineStr">
        <is>
          <t>TORSÅS</t>
        </is>
      </c>
      <c r="G571" t="n">
        <v>1.3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53349-2022</t>
        </is>
      </c>
      <c r="B572" s="1" t="n">
        <v>44879</v>
      </c>
      <c r="C572" s="1" t="n">
        <v>45692</v>
      </c>
      <c r="D572" t="inlineStr">
        <is>
          <t>KALMAR LÄN</t>
        </is>
      </c>
      <c r="E572" t="inlineStr">
        <is>
          <t>TORSÅS</t>
        </is>
      </c>
      <c r="G572" t="n">
        <v>0.8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53335-2022</t>
        </is>
      </c>
      <c r="B573" s="1" t="n">
        <v>44879</v>
      </c>
      <c r="C573" s="1" t="n">
        <v>45692</v>
      </c>
      <c r="D573" t="inlineStr">
        <is>
          <t>KALMAR LÄN</t>
        </is>
      </c>
      <c r="E573" t="inlineStr">
        <is>
          <t>TORSÅS</t>
        </is>
      </c>
      <c r="G573" t="n">
        <v>10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53976-2022</t>
        </is>
      </c>
      <c r="B574" s="1" t="n">
        <v>44881</v>
      </c>
      <c r="C574" s="1" t="n">
        <v>45692</v>
      </c>
      <c r="D574" t="inlineStr">
        <is>
          <t>KALMAR LÄN</t>
        </is>
      </c>
      <c r="E574" t="inlineStr">
        <is>
          <t>TORSÅS</t>
        </is>
      </c>
      <c r="G574" t="n">
        <v>1.6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54744-2022</t>
        </is>
      </c>
      <c r="B575" s="1" t="n">
        <v>44883</v>
      </c>
      <c r="C575" s="1" t="n">
        <v>45692</v>
      </c>
      <c r="D575" t="inlineStr">
        <is>
          <t>KALMAR LÄN</t>
        </is>
      </c>
      <c r="E575" t="inlineStr">
        <is>
          <t>TORSÅS</t>
        </is>
      </c>
      <c r="G575" t="n">
        <v>0.6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54748-2022</t>
        </is>
      </c>
      <c r="B576" s="1" t="n">
        <v>44883</v>
      </c>
      <c r="C576" s="1" t="n">
        <v>45692</v>
      </c>
      <c r="D576" t="inlineStr">
        <is>
          <t>KALMAR LÄN</t>
        </is>
      </c>
      <c r="E576" t="inlineStr">
        <is>
          <t>TORSÅS</t>
        </is>
      </c>
      <c r="G576" t="n">
        <v>0.7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54741-2022</t>
        </is>
      </c>
      <c r="B577" s="1" t="n">
        <v>44883</v>
      </c>
      <c r="C577" s="1" t="n">
        <v>45692</v>
      </c>
      <c r="D577" t="inlineStr">
        <is>
          <t>KALMAR LÄN</t>
        </is>
      </c>
      <c r="E577" t="inlineStr">
        <is>
          <t>TORSÅS</t>
        </is>
      </c>
      <c r="G577" t="n">
        <v>1.4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55342-2022</t>
        </is>
      </c>
      <c r="B578" s="1" t="n">
        <v>44887</v>
      </c>
      <c r="C578" s="1" t="n">
        <v>45692</v>
      </c>
      <c r="D578" t="inlineStr">
        <is>
          <t>KALMAR LÄN</t>
        </is>
      </c>
      <c r="E578" t="inlineStr">
        <is>
          <t>TORSÅS</t>
        </is>
      </c>
      <c r="G578" t="n">
        <v>1.2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55980-2022</t>
        </is>
      </c>
      <c r="B579" s="1" t="n">
        <v>44889</v>
      </c>
      <c r="C579" s="1" t="n">
        <v>45692</v>
      </c>
      <c r="D579" t="inlineStr">
        <is>
          <t>KALMAR LÄN</t>
        </is>
      </c>
      <c r="E579" t="inlineStr">
        <is>
          <t>TORSÅS</t>
        </is>
      </c>
      <c r="G579" t="n">
        <v>1.4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56360-2022</t>
        </is>
      </c>
      <c r="B580" s="1" t="n">
        <v>44890</v>
      </c>
      <c r="C580" s="1" t="n">
        <v>45692</v>
      </c>
      <c r="D580" t="inlineStr">
        <is>
          <t>KALMAR LÄN</t>
        </is>
      </c>
      <c r="E580" t="inlineStr">
        <is>
          <t>TORSÅS</t>
        </is>
      </c>
      <c r="G580" t="n">
        <v>0.8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56522-2022</t>
        </is>
      </c>
      <c r="B581" s="1" t="n">
        <v>44893</v>
      </c>
      <c r="C581" s="1" t="n">
        <v>45692</v>
      </c>
      <c r="D581" t="inlineStr">
        <is>
          <t>KALMAR LÄN</t>
        </is>
      </c>
      <c r="E581" t="inlineStr">
        <is>
          <t>TORSÅS</t>
        </is>
      </c>
      <c r="G581" t="n">
        <v>3.3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57118-2022</t>
        </is>
      </c>
      <c r="B582" s="1" t="n">
        <v>44895</v>
      </c>
      <c r="C582" s="1" t="n">
        <v>45692</v>
      </c>
      <c r="D582" t="inlineStr">
        <is>
          <t>KALMAR LÄN</t>
        </is>
      </c>
      <c r="E582" t="inlineStr">
        <is>
          <t>TORSÅS</t>
        </is>
      </c>
      <c r="G582" t="n">
        <v>4.1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59005-2022</t>
        </is>
      </c>
      <c r="B583" s="1" t="n">
        <v>44896</v>
      </c>
      <c r="C583" s="1" t="n">
        <v>45692</v>
      </c>
      <c r="D583" t="inlineStr">
        <is>
          <t>KALMAR LÄN</t>
        </is>
      </c>
      <c r="E583" t="inlineStr">
        <is>
          <t>TORSÅS</t>
        </is>
      </c>
      <c r="G583" t="n">
        <v>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58038-2022</t>
        </is>
      </c>
      <c r="B584" s="1" t="n">
        <v>44900</v>
      </c>
      <c r="C584" s="1" t="n">
        <v>45692</v>
      </c>
      <c r="D584" t="inlineStr">
        <is>
          <t>KALMAR LÄN</t>
        </is>
      </c>
      <c r="E584" t="inlineStr">
        <is>
          <t>TORSÅS</t>
        </is>
      </c>
      <c r="G584" t="n">
        <v>7.8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58681-2022</t>
        </is>
      </c>
      <c r="B585" s="1" t="n">
        <v>44902</v>
      </c>
      <c r="C585" s="1" t="n">
        <v>45692</v>
      </c>
      <c r="D585" t="inlineStr">
        <is>
          <t>KALMAR LÄN</t>
        </is>
      </c>
      <c r="E585" t="inlineStr">
        <is>
          <t>TORSÅS</t>
        </is>
      </c>
      <c r="G585" t="n">
        <v>1.4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58682-2022</t>
        </is>
      </c>
      <c r="B586" s="1" t="n">
        <v>44902</v>
      </c>
      <c r="C586" s="1" t="n">
        <v>45692</v>
      </c>
      <c r="D586" t="inlineStr">
        <is>
          <t>KALMAR LÄN</t>
        </is>
      </c>
      <c r="E586" t="inlineStr">
        <is>
          <t>TORSÅS</t>
        </is>
      </c>
      <c r="G586" t="n">
        <v>2.6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58680-2022</t>
        </is>
      </c>
      <c r="B587" s="1" t="n">
        <v>44902</v>
      </c>
      <c r="C587" s="1" t="n">
        <v>45692</v>
      </c>
      <c r="D587" t="inlineStr">
        <is>
          <t>KALMAR LÄN</t>
        </is>
      </c>
      <c r="E587" t="inlineStr">
        <is>
          <t>TORSÅS</t>
        </is>
      </c>
      <c r="G587" t="n">
        <v>0.8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58684-2022</t>
        </is>
      </c>
      <c r="B588" s="1" t="n">
        <v>44902</v>
      </c>
      <c r="C588" s="1" t="n">
        <v>45692</v>
      </c>
      <c r="D588" t="inlineStr">
        <is>
          <t>KALMAR LÄN</t>
        </is>
      </c>
      <c r="E588" t="inlineStr">
        <is>
          <t>TORSÅS</t>
        </is>
      </c>
      <c r="G588" t="n">
        <v>0.9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60196-2022</t>
        </is>
      </c>
      <c r="B589" s="1" t="n">
        <v>44910</v>
      </c>
      <c r="C589" s="1" t="n">
        <v>45692</v>
      </c>
      <c r="D589" t="inlineStr">
        <is>
          <t>KALMAR LÄN</t>
        </is>
      </c>
      <c r="E589" t="inlineStr">
        <is>
          <t>TORSÅS</t>
        </is>
      </c>
      <c r="G589" t="n">
        <v>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60360-2022</t>
        </is>
      </c>
      <c r="B590" s="1" t="n">
        <v>44910</v>
      </c>
      <c r="C590" s="1" t="n">
        <v>45692</v>
      </c>
      <c r="D590" t="inlineStr">
        <is>
          <t>KALMAR LÄN</t>
        </is>
      </c>
      <c r="E590" t="inlineStr">
        <is>
          <t>TORSÅS</t>
        </is>
      </c>
      <c r="G590" t="n">
        <v>0.5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60362-2022</t>
        </is>
      </c>
      <c r="B591" s="1" t="n">
        <v>44910</v>
      </c>
      <c r="C591" s="1" t="n">
        <v>45692</v>
      </c>
      <c r="D591" t="inlineStr">
        <is>
          <t>KALMAR LÄN</t>
        </is>
      </c>
      <c r="E591" t="inlineStr">
        <is>
          <t>TORSÅS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60810-2022</t>
        </is>
      </c>
      <c r="B592" s="1" t="n">
        <v>44914</v>
      </c>
      <c r="C592" s="1" t="n">
        <v>45692</v>
      </c>
      <c r="D592" t="inlineStr">
        <is>
          <t>KALMAR LÄN</t>
        </is>
      </c>
      <c r="E592" t="inlineStr">
        <is>
          <t>TORSÅS</t>
        </is>
      </c>
      <c r="G592" t="n">
        <v>3.4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249-2023</t>
        </is>
      </c>
      <c r="B593" s="1" t="n">
        <v>44928</v>
      </c>
      <c r="C593" s="1" t="n">
        <v>45692</v>
      </c>
      <c r="D593" t="inlineStr">
        <is>
          <t>KALMAR LÄN</t>
        </is>
      </c>
      <c r="E593" t="inlineStr">
        <is>
          <t>TORSÅS</t>
        </is>
      </c>
      <c r="G593" t="n">
        <v>2.4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251-2023</t>
        </is>
      </c>
      <c r="B594" s="1" t="n">
        <v>44928</v>
      </c>
      <c r="C594" s="1" t="n">
        <v>45692</v>
      </c>
      <c r="D594" t="inlineStr">
        <is>
          <t>KALMAR LÄN</t>
        </is>
      </c>
      <c r="E594" t="inlineStr">
        <is>
          <t>TORSÅS</t>
        </is>
      </c>
      <c r="G594" t="n">
        <v>3.2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1663-2023</t>
        </is>
      </c>
      <c r="B595" s="1" t="n">
        <v>44938</v>
      </c>
      <c r="C595" s="1" t="n">
        <v>45692</v>
      </c>
      <c r="D595" t="inlineStr">
        <is>
          <t>KALMAR LÄN</t>
        </is>
      </c>
      <c r="E595" t="inlineStr">
        <is>
          <t>TORSÅS</t>
        </is>
      </c>
      <c r="G595" t="n">
        <v>1.1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1731-2023</t>
        </is>
      </c>
      <c r="B596" s="1" t="n">
        <v>44938</v>
      </c>
      <c r="C596" s="1" t="n">
        <v>45692</v>
      </c>
      <c r="D596" t="inlineStr">
        <is>
          <t>KALMAR LÄN</t>
        </is>
      </c>
      <c r="E596" t="inlineStr">
        <is>
          <t>TORSÅS</t>
        </is>
      </c>
      <c r="G596" t="n">
        <v>3.2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1818-2023</t>
        </is>
      </c>
      <c r="B597" s="1" t="n">
        <v>44938</v>
      </c>
      <c r="C597" s="1" t="n">
        <v>45692</v>
      </c>
      <c r="D597" t="inlineStr">
        <is>
          <t>KALMAR LÄN</t>
        </is>
      </c>
      <c r="E597" t="inlineStr">
        <is>
          <t>TORSÅS</t>
        </is>
      </c>
      <c r="G597" t="n">
        <v>1.6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1819-2023</t>
        </is>
      </c>
      <c r="B598" s="1" t="n">
        <v>44938</v>
      </c>
      <c r="C598" s="1" t="n">
        <v>45692</v>
      </c>
      <c r="D598" t="inlineStr">
        <is>
          <t>KALMAR LÄN</t>
        </is>
      </c>
      <c r="E598" t="inlineStr">
        <is>
          <t>TORSÅS</t>
        </is>
      </c>
      <c r="G598" t="n">
        <v>7.2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2187-2023</t>
        </is>
      </c>
      <c r="B599" s="1" t="n">
        <v>44942</v>
      </c>
      <c r="C599" s="1" t="n">
        <v>45692</v>
      </c>
      <c r="D599" t="inlineStr">
        <is>
          <t>KALMAR LÄN</t>
        </is>
      </c>
      <c r="E599" t="inlineStr">
        <is>
          <t>TORSÅS</t>
        </is>
      </c>
      <c r="G599" t="n">
        <v>0.4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2279-2023</t>
        </is>
      </c>
      <c r="B600" s="1" t="n">
        <v>44942</v>
      </c>
      <c r="C600" s="1" t="n">
        <v>45692</v>
      </c>
      <c r="D600" t="inlineStr">
        <is>
          <t>KALMAR LÄN</t>
        </is>
      </c>
      <c r="E600" t="inlineStr">
        <is>
          <t>TORSÅS</t>
        </is>
      </c>
      <c r="G600" t="n">
        <v>5.5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2285-2023</t>
        </is>
      </c>
      <c r="B601" s="1" t="n">
        <v>44942</v>
      </c>
      <c r="C601" s="1" t="n">
        <v>45692</v>
      </c>
      <c r="D601" t="inlineStr">
        <is>
          <t>KALMAR LÄN</t>
        </is>
      </c>
      <c r="E601" t="inlineStr">
        <is>
          <t>TORSÅS</t>
        </is>
      </c>
      <c r="G601" t="n">
        <v>2.1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2277-2023</t>
        </is>
      </c>
      <c r="B602" s="1" t="n">
        <v>44942</v>
      </c>
      <c r="C602" s="1" t="n">
        <v>45692</v>
      </c>
      <c r="D602" t="inlineStr">
        <is>
          <t>KALMAR LÄN</t>
        </is>
      </c>
      <c r="E602" t="inlineStr">
        <is>
          <t>TORSÅS</t>
        </is>
      </c>
      <c r="G602" t="n">
        <v>3.5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2477-2023</t>
        </is>
      </c>
      <c r="B603" s="1" t="n">
        <v>44943</v>
      </c>
      <c r="C603" s="1" t="n">
        <v>45692</v>
      </c>
      <c r="D603" t="inlineStr">
        <is>
          <t>KALMAR LÄN</t>
        </is>
      </c>
      <c r="E603" t="inlineStr">
        <is>
          <t>TORSÅS</t>
        </is>
      </c>
      <c r="G603" t="n">
        <v>1.1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2480-2023</t>
        </is>
      </c>
      <c r="B604" s="1" t="n">
        <v>44943</v>
      </c>
      <c r="C604" s="1" t="n">
        <v>45692</v>
      </c>
      <c r="D604" t="inlineStr">
        <is>
          <t>KALMAR LÄN</t>
        </is>
      </c>
      <c r="E604" t="inlineStr">
        <is>
          <t>TORSÅS</t>
        </is>
      </c>
      <c r="G604" t="n">
        <v>2.9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2782-2023</t>
        </is>
      </c>
      <c r="B605" s="1" t="n">
        <v>44944</v>
      </c>
      <c r="C605" s="1" t="n">
        <v>45692</v>
      </c>
      <c r="D605" t="inlineStr">
        <is>
          <t>KALMAR LÄN</t>
        </is>
      </c>
      <c r="E605" t="inlineStr">
        <is>
          <t>TORSÅS</t>
        </is>
      </c>
      <c r="G605" t="n">
        <v>1.5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2785-2023</t>
        </is>
      </c>
      <c r="B606" s="1" t="n">
        <v>44944</v>
      </c>
      <c r="C606" s="1" t="n">
        <v>45692</v>
      </c>
      <c r="D606" t="inlineStr">
        <is>
          <t>KALMAR LÄN</t>
        </is>
      </c>
      <c r="E606" t="inlineStr">
        <is>
          <t>TORSÅS</t>
        </is>
      </c>
      <c r="G606" t="n">
        <v>0.5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3295-2023</t>
        </is>
      </c>
      <c r="B607" s="1" t="n">
        <v>44949</v>
      </c>
      <c r="C607" s="1" t="n">
        <v>45692</v>
      </c>
      <c r="D607" t="inlineStr">
        <is>
          <t>KALMAR LÄN</t>
        </is>
      </c>
      <c r="E607" t="inlineStr">
        <is>
          <t>TORSÅS</t>
        </is>
      </c>
      <c r="G607" t="n">
        <v>1.5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3371-2023</t>
        </is>
      </c>
      <c r="B608" s="1" t="n">
        <v>44949</v>
      </c>
      <c r="C608" s="1" t="n">
        <v>45692</v>
      </c>
      <c r="D608" t="inlineStr">
        <is>
          <t>KALMAR LÄN</t>
        </is>
      </c>
      <c r="E608" t="inlineStr">
        <is>
          <t>TORSÅS</t>
        </is>
      </c>
      <c r="G608" t="n">
        <v>4.5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3376-2023</t>
        </is>
      </c>
      <c r="B609" s="1" t="n">
        <v>44949</v>
      </c>
      <c r="C609" s="1" t="n">
        <v>45692</v>
      </c>
      <c r="D609" t="inlineStr">
        <is>
          <t>KALMAR LÄN</t>
        </is>
      </c>
      <c r="E609" t="inlineStr">
        <is>
          <t>TORSÅS</t>
        </is>
      </c>
      <c r="G609" t="n">
        <v>1.3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3373-2023</t>
        </is>
      </c>
      <c r="B610" s="1" t="n">
        <v>44949</v>
      </c>
      <c r="C610" s="1" t="n">
        <v>45692</v>
      </c>
      <c r="D610" t="inlineStr">
        <is>
          <t>KALMAR LÄN</t>
        </is>
      </c>
      <c r="E610" t="inlineStr">
        <is>
          <t>TORSÅS</t>
        </is>
      </c>
      <c r="G610" t="n">
        <v>2.3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3389-2023</t>
        </is>
      </c>
      <c r="B611" s="1" t="n">
        <v>44949</v>
      </c>
      <c r="C611" s="1" t="n">
        <v>45692</v>
      </c>
      <c r="D611" t="inlineStr">
        <is>
          <t>KALMAR LÄN</t>
        </is>
      </c>
      <c r="E611" t="inlineStr">
        <is>
          <t>TORSÅS</t>
        </is>
      </c>
      <c r="G611" t="n">
        <v>2.9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3396-2023</t>
        </is>
      </c>
      <c r="B612" s="1" t="n">
        <v>44949</v>
      </c>
      <c r="C612" s="1" t="n">
        <v>45692</v>
      </c>
      <c r="D612" t="inlineStr">
        <is>
          <t>KALMAR LÄN</t>
        </is>
      </c>
      <c r="E612" t="inlineStr">
        <is>
          <t>TORSÅS</t>
        </is>
      </c>
      <c r="G612" t="n">
        <v>0.8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3554-2023</t>
        </is>
      </c>
      <c r="B613" s="1" t="n">
        <v>44950</v>
      </c>
      <c r="C613" s="1" t="n">
        <v>45692</v>
      </c>
      <c r="D613" t="inlineStr">
        <is>
          <t>KALMAR LÄN</t>
        </is>
      </c>
      <c r="E613" t="inlineStr">
        <is>
          <t>TORSÅS</t>
        </is>
      </c>
      <c r="G613" t="n">
        <v>1.9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4533-2023</t>
        </is>
      </c>
      <c r="B614" s="1" t="n">
        <v>44956</v>
      </c>
      <c r="C614" s="1" t="n">
        <v>45692</v>
      </c>
      <c r="D614" t="inlineStr">
        <is>
          <t>KALMAR LÄN</t>
        </is>
      </c>
      <c r="E614" t="inlineStr">
        <is>
          <t>TORSÅS</t>
        </is>
      </c>
      <c r="G614" t="n">
        <v>1.9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4926-2023</t>
        </is>
      </c>
      <c r="B615" s="1" t="n">
        <v>44958</v>
      </c>
      <c r="C615" s="1" t="n">
        <v>45692</v>
      </c>
      <c r="D615" t="inlineStr">
        <is>
          <t>KALMAR LÄN</t>
        </is>
      </c>
      <c r="E615" t="inlineStr">
        <is>
          <t>TORSÅS</t>
        </is>
      </c>
      <c r="G615" t="n">
        <v>0.9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4928-2023</t>
        </is>
      </c>
      <c r="B616" s="1" t="n">
        <v>44958</v>
      </c>
      <c r="C616" s="1" t="n">
        <v>45692</v>
      </c>
      <c r="D616" t="inlineStr">
        <is>
          <t>KALMAR LÄN</t>
        </is>
      </c>
      <c r="E616" t="inlineStr">
        <is>
          <t>TORSÅS</t>
        </is>
      </c>
      <c r="G616" t="n">
        <v>0.8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4896-2023</t>
        </is>
      </c>
      <c r="B617" s="1" t="n">
        <v>44958</v>
      </c>
      <c r="C617" s="1" t="n">
        <v>45692</v>
      </c>
      <c r="D617" t="inlineStr">
        <is>
          <t>KALMAR LÄN</t>
        </is>
      </c>
      <c r="E617" t="inlineStr">
        <is>
          <t>TORSÅS</t>
        </is>
      </c>
      <c r="F617" t="inlineStr">
        <is>
          <t>Övriga Aktiebolag</t>
        </is>
      </c>
      <c r="G617" t="n">
        <v>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4898-2023</t>
        </is>
      </c>
      <c r="B618" s="1" t="n">
        <v>44958</v>
      </c>
      <c r="C618" s="1" t="n">
        <v>45692</v>
      </c>
      <c r="D618" t="inlineStr">
        <is>
          <t>KALMAR LÄN</t>
        </is>
      </c>
      <c r="E618" t="inlineStr">
        <is>
          <t>TORSÅS</t>
        </is>
      </c>
      <c r="F618" t="inlineStr">
        <is>
          <t>Övriga Aktiebolag</t>
        </is>
      </c>
      <c r="G618" t="n">
        <v>2.3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5113-2023</t>
        </is>
      </c>
      <c r="B619" s="1" t="n">
        <v>44958</v>
      </c>
      <c r="C619" s="1" t="n">
        <v>45692</v>
      </c>
      <c r="D619" t="inlineStr">
        <is>
          <t>KALMAR LÄN</t>
        </is>
      </c>
      <c r="E619" t="inlineStr">
        <is>
          <t>TORSÅS</t>
        </is>
      </c>
      <c r="G619" t="n">
        <v>0.7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6366-2023</t>
        </is>
      </c>
      <c r="B620" s="1" t="n">
        <v>44965</v>
      </c>
      <c r="C620" s="1" t="n">
        <v>45692</v>
      </c>
      <c r="D620" t="inlineStr">
        <is>
          <t>KALMAR LÄN</t>
        </is>
      </c>
      <c r="E620" t="inlineStr">
        <is>
          <t>TORSÅS</t>
        </is>
      </c>
      <c r="G620" t="n">
        <v>1.1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6393-2023</t>
        </is>
      </c>
      <c r="B621" s="1" t="n">
        <v>44965</v>
      </c>
      <c r="C621" s="1" t="n">
        <v>45692</v>
      </c>
      <c r="D621" t="inlineStr">
        <is>
          <t>KALMAR LÄN</t>
        </is>
      </c>
      <c r="E621" t="inlineStr">
        <is>
          <t>TORSÅS</t>
        </is>
      </c>
      <c r="G621" t="n">
        <v>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6819-2023</t>
        </is>
      </c>
      <c r="B622" s="1" t="n">
        <v>44967</v>
      </c>
      <c r="C622" s="1" t="n">
        <v>45692</v>
      </c>
      <c r="D622" t="inlineStr">
        <is>
          <t>KALMAR LÄN</t>
        </is>
      </c>
      <c r="E622" t="inlineStr">
        <is>
          <t>TORSÅS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8426-2023</t>
        </is>
      </c>
      <c r="B623" s="1" t="n">
        <v>44977</v>
      </c>
      <c r="C623" s="1" t="n">
        <v>45692</v>
      </c>
      <c r="D623" t="inlineStr">
        <is>
          <t>KALMAR LÄN</t>
        </is>
      </c>
      <c r="E623" t="inlineStr">
        <is>
          <t>TORSÅS</t>
        </is>
      </c>
      <c r="G623" t="n">
        <v>0.9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8427-2023</t>
        </is>
      </c>
      <c r="B624" s="1" t="n">
        <v>44977</v>
      </c>
      <c r="C624" s="1" t="n">
        <v>45692</v>
      </c>
      <c r="D624" t="inlineStr">
        <is>
          <t>KALMAR LÄN</t>
        </is>
      </c>
      <c r="E624" t="inlineStr">
        <is>
          <t>TORSÅS</t>
        </is>
      </c>
      <c r="G624" t="n">
        <v>0.5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9054-2023</t>
        </is>
      </c>
      <c r="B625" s="1" t="n">
        <v>44979</v>
      </c>
      <c r="C625" s="1" t="n">
        <v>45692</v>
      </c>
      <c r="D625" t="inlineStr">
        <is>
          <t>KALMAR LÄN</t>
        </is>
      </c>
      <c r="E625" t="inlineStr">
        <is>
          <t>TORSÅS</t>
        </is>
      </c>
      <c r="G625" t="n">
        <v>0.7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9151-2023</t>
        </is>
      </c>
      <c r="B626" s="1" t="n">
        <v>44980</v>
      </c>
      <c r="C626" s="1" t="n">
        <v>45692</v>
      </c>
      <c r="D626" t="inlineStr">
        <is>
          <t>KALMAR LÄN</t>
        </is>
      </c>
      <c r="E626" t="inlineStr">
        <is>
          <t>TORSÅS</t>
        </is>
      </c>
      <c r="G626" t="n">
        <v>5.3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9757-2023</t>
        </is>
      </c>
      <c r="B627" s="1" t="n">
        <v>44984</v>
      </c>
      <c r="C627" s="1" t="n">
        <v>45692</v>
      </c>
      <c r="D627" t="inlineStr">
        <is>
          <t>KALMAR LÄN</t>
        </is>
      </c>
      <c r="E627" t="inlineStr">
        <is>
          <t>TORSÅS</t>
        </is>
      </c>
      <c r="G627" t="n">
        <v>2.3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9933-2023</t>
        </is>
      </c>
      <c r="B628" s="1" t="n">
        <v>44985</v>
      </c>
      <c r="C628" s="1" t="n">
        <v>45692</v>
      </c>
      <c r="D628" t="inlineStr">
        <is>
          <t>KALMAR LÄN</t>
        </is>
      </c>
      <c r="E628" t="inlineStr">
        <is>
          <t>TORSÅS</t>
        </is>
      </c>
      <c r="G628" t="n">
        <v>2.1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10062-2023</t>
        </is>
      </c>
      <c r="B629" s="1" t="n">
        <v>44985</v>
      </c>
      <c r="C629" s="1" t="n">
        <v>45692</v>
      </c>
      <c r="D629" t="inlineStr">
        <is>
          <t>KALMAR LÄN</t>
        </is>
      </c>
      <c r="E629" t="inlineStr">
        <is>
          <t>TORSÅS</t>
        </is>
      </c>
      <c r="G629" t="n">
        <v>1.2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10260-2023</t>
        </is>
      </c>
      <c r="B630" s="1" t="n">
        <v>44986</v>
      </c>
      <c r="C630" s="1" t="n">
        <v>45692</v>
      </c>
      <c r="D630" t="inlineStr">
        <is>
          <t>KALMAR LÄN</t>
        </is>
      </c>
      <c r="E630" t="inlineStr">
        <is>
          <t>TORSÅS</t>
        </is>
      </c>
      <c r="G630" t="n">
        <v>1.6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10264-2023</t>
        </is>
      </c>
      <c r="B631" s="1" t="n">
        <v>44986</v>
      </c>
      <c r="C631" s="1" t="n">
        <v>45692</v>
      </c>
      <c r="D631" t="inlineStr">
        <is>
          <t>KALMAR LÄN</t>
        </is>
      </c>
      <c r="E631" t="inlineStr">
        <is>
          <t>TORSÅS</t>
        </is>
      </c>
      <c r="G631" t="n">
        <v>0.9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10472-2023</t>
        </is>
      </c>
      <c r="B632" s="1" t="n">
        <v>44987</v>
      </c>
      <c r="C632" s="1" t="n">
        <v>45692</v>
      </c>
      <c r="D632" t="inlineStr">
        <is>
          <t>KALMAR LÄN</t>
        </is>
      </c>
      <c r="E632" t="inlineStr">
        <is>
          <t>TORSÅS</t>
        </is>
      </c>
      <c r="G632" t="n">
        <v>0.6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10613-2023</t>
        </is>
      </c>
      <c r="B633" s="1" t="n">
        <v>44988</v>
      </c>
      <c r="C633" s="1" t="n">
        <v>45692</v>
      </c>
      <c r="D633" t="inlineStr">
        <is>
          <t>KALMAR LÄN</t>
        </is>
      </c>
      <c r="E633" t="inlineStr">
        <is>
          <t>TORSÅS</t>
        </is>
      </c>
      <c r="G633" t="n">
        <v>0.5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10652-2023</t>
        </is>
      </c>
      <c r="B634" s="1" t="n">
        <v>44988</v>
      </c>
      <c r="C634" s="1" t="n">
        <v>45692</v>
      </c>
      <c r="D634" t="inlineStr">
        <is>
          <t>KALMAR LÄN</t>
        </is>
      </c>
      <c r="E634" t="inlineStr">
        <is>
          <t>TORSÅS</t>
        </is>
      </c>
      <c r="G634" t="n">
        <v>0.7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10603-2023</t>
        </is>
      </c>
      <c r="B635" s="1" t="n">
        <v>44988</v>
      </c>
      <c r="C635" s="1" t="n">
        <v>45692</v>
      </c>
      <c r="D635" t="inlineStr">
        <is>
          <t>KALMAR LÄN</t>
        </is>
      </c>
      <c r="E635" t="inlineStr">
        <is>
          <t>TORSÅS</t>
        </is>
      </c>
      <c r="G635" t="n">
        <v>0.9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10651-2023</t>
        </is>
      </c>
      <c r="B636" s="1" t="n">
        <v>44988</v>
      </c>
      <c r="C636" s="1" t="n">
        <v>45692</v>
      </c>
      <c r="D636" t="inlineStr">
        <is>
          <t>KALMAR LÄN</t>
        </is>
      </c>
      <c r="E636" t="inlineStr">
        <is>
          <t>TORSÅS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11162-2023</t>
        </is>
      </c>
      <c r="B637" s="1" t="n">
        <v>44992</v>
      </c>
      <c r="C637" s="1" t="n">
        <v>45692</v>
      </c>
      <c r="D637" t="inlineStr">
        <is>
          <t>KALMAR LÄN</t>
        </is>
      </c>
      <c r="E637" t="inlineStr">
        <is>
          <t>TORSÅS</t>
        </is>
      </c>
      <c r="G637" t="n">
        <v>5.4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11353-2023</t>
        </is>
      </c>
      <c r="B638" s="1" t="n">
        <v>44993</v>
      </c>
      <c r="C638" s="1" t="n">
        <v>45692</v>
      </c>
      <c r="D638" t="inlineStr">
        <is>
          <t>KALMAR LÄN</t>
        </is>
      </c>
      <c r="E638" t="inlineStr">
        <is>
          <t>TORSÅS</t>
        </is>
      </c>
      <c r="G638" t="n">
        <v>9.1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12152-2023</t>
        </is>
      </c>
      <c r="B639" s="1" t="n">
        <v>44998</v>
      </c>
      <c r="C639" s="1" t="n">
        <v>45692</v>
      </c>
      <c r="D639" t="inlineStr">
        <is>
          <t>KALMAR LÄN</t>
        </is>
      </c>
      <c r="E639" t="inlineStr">
        <is>
          <t>TORSÅS</t>
        </is>
      </c>
      <c r="G639" t="n">
        <v>9.199999999999999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12157-2023</t>
        </is>
      </c>
      <c r="B640" s="1" t="n">
        <v>44998</v>
      </c>
      <c r="C640" s="1" t="n">
        <v>45692</v>
      </c>
      <c r="D640" t="inlineStr">
        <is>
          <t>KALMAR LÄN</t>
        </is>
      </c>
      <c r="E640" t="inlineStr">
        <is>
          <t>TORSÅS</t>
        </is>
      </c>
      <c r="G640" t="n">
        <v>0.9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12159-2023</t>
        </is>
      </c>
      <c r="B641" s="1" t="n">
        <v>44998</v>
      </c>
      <c r="C641" s="1" t="n">
        <v>45692</v>
      </c>
      <c r="D641" t="inlineStr">
        <is>
          <t>KALMAR LÄN</t>
        </is>
      </c>
      <c r="E641" t="inlineStr">
        <is>
          <t>TORSÅS</t>
        </is>
      </c>
      <c r="G641" t="n">
        <v>2.7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12163-2023</t>
        </is>
      </c>
      <c r="B642" s="1" t="n">
        <v>44998</v>
      </c>
      <c r="C642" s="1" t="n">
        <v>45692</v>
      </c>
      <c r="D642" t="inlineStr">
        <is>
          <t>KALMAR LÄN</t>
        </is>
      </c>
      <c r="E642" t="inlineStr">
        <is>
          <t>TORSÅS</t>
        </is>
      </c>
      <c r="G642" t="n">
        <v>1.5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12445-2023</t>
        </is>
      </c>
      <c r="B643" s="1" t="n">
        <v>44999</v>
      </c>
      <c r="C643" s="1" t="n">
        <v>45692</v>
      </c>
      <c r="D643" t="inlineStr">
        <is>
          <t>KALMAR LÄN</t>
        </is>
      </c>
      <c r="E643" t="inlineStr">
        <is>
          <t>TORSÅS</t>
        </is>
      </c>
      <c r="G643" t="n">
        <v>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12553-2023</t>
        </is>
      </c>
      <c r="B644" s="1" t="n">
        <v>45000</v>
      </c>
      <c r="C644" s="1" t="n">
        <v>45692</v>
      </c>
      <c r="D644" t="inlineStr">
        <is>
          <t>KALMAR LÄN</t>
        </is>
      </c>
      <c r="E644" t="inlineStr">
        <is>
          <t>TORSÅS</t>
        </is>
      </c>
      <c r="G644" t="n">
        <v>0.6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12915-2023</t>
        </is>
      </c>
      <c r="B645" s="1" t="n">
        <v>45001</v>
      </c>
      <c r="C645" s="1" t="n">
        <v>45692</v>
      </c>
      <c r="D645" t="inlineStr">
        <is>
          <t>KALMAR LÄN</t>
        </is>
      </c>
      <c r="E645" t="inlineStr">
        <is>
          <t>TORSÅS</t>
        </is>
      </c>
      <c r="G645" t="n">
        <v>0.7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12951-2023</t>
        </is>
      </c>
      <c r="B646" s="1" t="n">
        <v>45001</v>
      </c>
      <c r="C646" s="1" t="n">
        <v>45692</v>
      </c>
      <c r="D646" t="inlineStr">
        <is>
          <t>KALMAR LÄN</t>
        </is>
      </c>
      <c r="E646" t="inlineStr">
        <is>
          <t>TORSÅS</t>
        </is>
      </c>
      <c r="G646" t="n">
        <v>0.5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12956-2023</t>
        </is>
      </c>
      <c r="B647" s="1" t="n">
        <v>45001</v>
      </c>
      <c r="C647" s="1" t="n">
        <v>45692</v>
      </c>
      <c r="D647" t="inlineStr">
        <is>
          <t>KALMAR LÄN</t>
        </is>
      </c>
      <c r="E647" t="inlineStr">
        <is>
          <t>TORSÅS</t>
        </is>
      </c>
      <c r="G647" t="n">
        <v>2.2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12913-2023</t>
        </is>
      </c>
      <c r="B648" s="1" t="n">
        <v>45001</v>
      </c>
      <c r="C648" s="1" t="n">
        <v>45692</v>
      </c>
      <c r="D648" t="inlineStr">
        <is>
          <t>KALMAR LÄN</t>
        </is>
      </c>
      <c r="E648" t="inlineStr">
        <is>
          <t>TORSÅS</t>
        </is>
      </c>
      <c r="G648" t="n">
        <v>1.7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12954-2023</t>
        </is>
      </c>
      <c r="B649" s="1" t="n">
        <v>45001</v>
      </c>
      <c r="C649" s="1" t="n">
        <v>45692</v>
      </c>
      <c r="D649" t="inlineStr">
        <is>
          <t>KALMAR LÄN</t>
        </is>
      </c>
      <c r="E649" t="inlineStr">
        <is>
          <t>TORSÅS</t>
        </is>
      </c>
      <c r="G649" t="n">
        <v>0.6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12958-2023</t>
        </is>
      </c>
      <c r="B650" s="1" t="n">
        <v>45001</v>
      </c>
      <c r="C650" s="1" t="n">
        <v>45692</v>
      </c>
      <c r="D650" t="inlineStr">
        <is>
          <t>KALMAR LÄN</t>
        </is>
      </c>
      <c r="E650" t="inlineStr">
        <is>
          <t>TORSÅS</t>
        </is>
      </c>
      <c r="G650" t="n">
        <v>2.9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12957-2023</t>
        </is>
      </c>
      <c r="B651" s="1" t="n">
        <v>45001</v>
      </c>
      <c r="C651" s="1" t="n">
        <v>45692</v>
      </c>
      <c r="D651" t="inlineStr">
        <is>
          <t>KALMAR LÄN</t>
        </is>
      </c>
      <c r="E651" t="inlineStr">
        <is>
          <t>TORSÅS</t>
        </is>
      </c>
      <c r="G651" t="n">
        <v>1.9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13962-2023</t>
        </is>
      </c>
      <c r="B652" s="1" t="n">
        <v>45008</v>
      </c>
      <c r="C652" s="1" t="n">
        <v>45692</v>
      </c>
      <c r="D652" t="inlineStr">
        <is>
          <t>KALMAR LÄN</t>
        </is>
      </c>
      <c r="E652" t="inlineStr">
        <is>
          <t>TORSÅS</t>
        </is>
      </c>
      <c r="G652" t="n">
        <v>1.2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13923-2023</t>
        </is>
      </c>
      <c r="B653" s="1" t="n">
        <v>45008</v>
      </c>
      <c r="C653" s="1" t="n">
        <v>45692</v>
      </c>
      <c r="D653" t="inlineStr">
        <is>
          <t>KALMAR LÄN</t>
        </is>
      </c>
      <c r="E653" t="inlineStr">
        <is>
          <t>TORSÅS</t>
        </is>
      </c>
      <c r="G653" t="n">
        <v>2.2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13929-2023</t>
        </is>
      </c>
      <c r="B654" s="1" t="n">
        <v>45008</v>
      </c>
      <c r="C654" s="1" t="n">
        <v>45692</v>
      </c>
      <c r="D654" t="inlineStr">
        <is>
          <t>KALMAR LÄN</t>
        </is>
      </c>
      <c r="E654" t="inlineStr">
        <is>
          <t>TORSÅS</t>
        </is>
      </c>
      <c r="G654" t="n">
        <v>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13958-2023</t>
        </is>
      </c>
      <c r="B655" s="1" t="n">
        <v>45008</v>
      </c>
      <c r="C655" s="1" t="n">
        <v>45692</v>
      </c>
      <c r="D655" t="inlineStr">
        <is>
          <t>KALMAR LÄN</t>
        </is>
      </c>
      <c r="E655" t="inlineStr">
        <is>
          <t>TORSÅS</t>
        </is>
      </c>
      <c r="G655" t="n">
        <v>4.6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13963-2023</t>
        </is>
      </c>
      <c r="B656" s="1" t="n">
        <v>45008</v>
      </c>
      <c r="C656" s="1" t="n">
        <v>45692</v>
      </c>
      <c r="D656" t="inlineStr">
        <is>
          <t>KALMAR LÄN</t>
        </is>
      </c>
      <c r="E656" t="inlineStr">
        <is>
          <t>TORSÅS</t>
        </is>
      </c>
      <c r="G656" t="n">
        <v>1.1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13924-2023</t>
        </is>
      </c>
      <c r="B657" s="1" t="n">
        <v>45008</v>
      </c>
      <c r="C657" s="1" t="n">
        <v>45692</v>
      </c>
      <c r="D657" t="inlineStr">
        <is>
          <t>KALMAR LÄN</t>
        </is>
      </c>
      <c r="E657" t="inlineStr">
        <is>
          <t>TORSÅS</t>
        </is>
      </c>
      <c r="G657" t="n">
        <v>1.8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13930-2023</t>
        </is>
      </c>
      <c r="B658" s="1" t="n">
        <v>45008</v>
      </c>
      <c r="C658" s="1" t="n">
        <v>45692</v>
      </c>
      <c r="D658" t="inlineStr">
        <is>
          <t>KALMAR LÄN</t>
        </is>
      </c>
      <c r="E658" t="inlineStr">
        <is>
          <t>TORSÅS</t>
        </is>
      </c>
      <c r="G658" t="n">
        <v>0.9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14366-2023</t>
        </is>
      </c>
      <c r="B659" s="1" t="n">
        <v>45012</v>
      </c>
      <c r="C659" s="1" t="n">
        <v>45692</v>
      </c>
      <c r="D659" t="inlineStr">
        <is>
          <t>KALMAR LÄN</t>
        </is>
      </c>
      <c r="E659" t="inlineStr">
        <is>
          <t>TORSÅS</t>
        </is>
      </c>
      <c r="G659" t="n">
        <v>7.3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14362-2023</t>
        </is>
      </c>
      <c r="B660" s="1" t="n">
        <v>45012</v>
      </c>
      <c r="C660" s="1" t="n">
        <v>45692</v>
      </c>
      <c r="D660" t="inlineStr">
        <is>
          <t>KALMAR LÄN</t>
        </is>
      </c>
      <c r="E660" t="inlineStr">
        <is>
          <t>TORSÅS</t>
        </is>
      </c>
      <c r="G660" t="n">
        <v>0.6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14942-2023</t>
        </is>
      </c>
      <c r="B661" s="1" t="n">
        <v>45015</v>
      </c>
      <c r="C661" s="1" t="n">
        <v>45692</v>
      </c>
      <c r="D661" t="inlineStr">
        <is>
          <t>KALMAR LÄN</t>
        </is>
      </c>
      <c r="E661" t="inlineStr">
        <is>
          <t>TORSÅS</t>
        </is>
      </c>
      <c r="G661" t="n">
        <v>3.7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15162-2023</t>
        </is>
      </c>
      <c r="B662" s="1" t="n">
        <v>45016</v>
      </c>
      <c r="C662" s="1" t="n">
        <v>45692</v>
      </c>
      <c r="D662" t="inlineStr">
        <is>
          <t>KALMAR LÄN</t>
        </is>
      </c>
      <c r="E662" t="inlineStr">
        <is>
          <t>TORSÅS</t>
        </is>
      </c>
      <c r="G662" t="n">
        <v>1.6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15335-2023</t>
        </is>
      </c>
      <c r="B663" s="1" t="n">
        <v>45019</v>
      </c>
      <c r="C663" s="1" t="n">
        <v>45692</v>
      </c>
      <c r="D663" t="inlineStr">
        <is>
          <t>KALMAR LÄN</t>
        </is>
      </c>
      <c r="E663" t="inlineStr">
        <is>
          <t>TORSÅS</t>
        </is>
      </c>
      <c r="G663" t="n">
        <v>1.1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15373-2023</t>
        </is>
      </c>
      <c r="B664" s="1" t="n">
        <v>45019</v>
      </c>
      <c r="C664" s="1" t="n">
        <v>45692</v>
      </c>
      <c r="D664" t="inlineStr">
        <is>
          <t>KALMAR LÄN</t>
        </is>
      </c>
      <c r="E664" t="inlineStr">
        <is>
          <t>TORSÅS</t>
        </is>
      </c>
      <c r="G664" t="n">
        <v>0.8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16152-2023</t>
        </is>
      </c>
      <c r="B665" s="1" t="n">
        <v>45027</v>
      </c>
      <c r="C665" s="1" t="n">
        <v>45692</v>
      </c>
      <c r="D665" t="inlineStr">
        <is>
          <t>KALMAR LÄN</t>
        </is>
      </c>
      <c r="E665" t="inlineStr">
        <is>
          <t>TORSÅS</t>
        </is>
      </c>
      <c r="G665" t="n">
        <v>2.3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16409-2023</t>
        </is>
      </c>
      <c r="B666" s="1" t="n">
        <v>45029</v>
      </c>
      <c r="C666" s="1" t="n">
        <v>45692</v>
      </c>
      <c r="D666" t="inlineStr">
        <is>
          <t>KALMAR LÄN</t>
        </is>
      </c>
      <c r="E666" t="inlineStr">
        <is>
          <t>TORSÅS</t>
        </is>
      </c>
      <c r="G666" t="n">
        <v>3.2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17815-2023</t>
        </is>
      </c>
      <c r="B667" s="1" t="n">
        <v>45036</v>
      </c>
      <c r="C667" s="1" t="n">
        <v>45692</v>
      </c>
      <c r="D667" t="inlineStr">
        <is>
          <t>KALMAR LÄN</t>
        </is>
      </c>
      <c r="E667" t="inlineStr">
        <is>
          <t>TORSÅS</t>
        </is>
      </c>
      <c r="G667" t="n">
        <v>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17977-2023</t>
        </is>
      </c>
      <c r="B668" s="1" t="n">
        <v>45040</v>
      </c>
      <c r="C668" s="1" t="n">
        <v>45692</v>
      </c>
      <c r="D668" t="inlineStr">
        <is>
          <t>KALMAR LÄN</t>
        </is>
      </c>
      <c r="E668" t="inlineStr">
        <is>
          <t>TORSÅS</t>
        </is>
      </c>
      <c r="G668" t="n">
        <v>2.9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18045-2023</t>
        </is>
      </c>
      <c r="B669" s="1" t="n">
        <v>45040</v>
      </c>
      <c r="C669" s="1" t="n">
        <v>45692</v>
      </c>
      <c r="D669" t="inlineStr">
        <is>
          <t>KALMAR LÄN</t>
        </is>
      </c>
      <c r="E669" t="inlineStr">
        <is>
          <t>TORSÅS</t>
        </is>
      </c>
      <c r="G669" t="n">
        <v>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18024-2023</t>
        </is>
      </c>
      <c r="B670" s="1" t="n">
        <v>45040</v>
      </c>
      <c r="C670" s="1" t="n">
        <v>45692</v>
      </c>
      <c r="D670" t="inlineStr">
        <is>
          <t>KALMAR LÄN</t>
        </is>
      </c>
      <c r="E670" t="inlineStr">
        <is>
          <t>TORSÅS</t>
        </is>
      </c>
      <c r="G670" t="n">
        <v>0.9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18021-2023</t>
        </is>
      </c>
      <c r="B671" s="1" t="n">
        <v>45040</v>
      </c>
      <c r="C671" s="1" t="n">
        <v>45692</v>
      </c>
      <c r="D671" t="inlineStr">
        <is>
          <t>KALMAR LÄN</t>
        </is>
      </c>
      <c r="E671" t="inlineStr">
        <is>
          <t>TORSÅS</t>
        </is>
      </c>
      <c r="G671" t="n">
        <v>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18025-2023</t>
        </is>
      </c>
      <c r="B672" s="1" t="n">
        <v>45040</v>
      </c>
      <c r="C672" s="1" t="n">
        <v>45692</v>
      </c>
      <c r="D672" t="inlineStr">
        <is>
          <t>KALMAR LÄN</t>
        </is>
      </c>
      <c r="E672" t="inlineStr">
        <is>
          <t>TORSÅS</t>
        </is>
      </c>
      <c r="G672" t="n">
        <v>1.3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19587-2023</t>
        </is>
      </c>
      <c r="B673" s="1" t="n">
        <v>45050</v>
      </c>
      <c r="C673" s="1" t="n">
        <v>45692</v>
      </c>
      <c r="D673" t="inlineStr">
        <is>
          <t>KALMAR LÄN</t>
        </is>
      </c>
      <c r="E673" t="inlineStr">
        <is>
          <t>TORSÅS</t>
        </is>
      </c>
      <c r="G673" t="n">
        <v>1.9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19789-2023</t>
        </is>
      </c>
      <c r="B674" s="1" t="n">
        <v>45051</v>
      </c>
      <c r="C674" s="1" t="n">
        <v>45692</v>
      </c>
      <c r="D674" t="inlineStr">
        <is>
          <t>KALMAR LÄN</t>
        </is>
      </c>
      <c r="E674" t="inlineStr">
        <is>
          <t>TORSÅS</t>
        </is>
      </c>
      <c r="G674" t="n">
        <v>1.2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19943-2023</t>
        </is>
      </c>
      <c r="B675" s="1" t="n">
        <v>45054</v>
      </c>
      <c r="C675" s="1" t="n">
        <v>45692</v>
      </c>
      <c r="D675" t="inlineStr">
        <is>
          <t>KALMAR LÄN</t>
        </is>
      </c>
      <c r="E675" t="inlineStr">
        <is>
          <t>TORSÅS</t>
        </is>
      </c>
      <c r="G675" t="n">
        <v>0.5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19942-2023</t>
        </is>
      </c>
      <c r="B676" s="1" t="n">
        <v>45054</v>
      </c>
      <c r="C676" s="1" t="n">
        <v>45692</v>
      </c>
      <c r="D676" t="inlineStr">
        <is>
          <t>KALMAR LÄN</t>
        </is>
      </c>
      <c r="E676" t="inlineStr">
        <is>
          <t>TORSÅS</t>
        </is>
      </c>
      <c r="G676" t="n">
        <v>1.8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20714-2023</t>
        </is>
      </c>
      <c r="B677" s="1" t="n">
        <v>45058</v>
      </c>
      <c r="C677" s="1" t="n">
        <v>45692</v>
      </c>
      <c r="D677" t="inlineStr">
        <is>
          <t>KALMAR LÄN</t>
        </is>
      </c>
      <c r="E677" t="inlineStr">
        <is>
          <t>TORSÅS</t>
        </is>
      </c>
      <c r="G677" t="n">
        <v>0.6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21604-2023</t>
        </is>
      </c>
      <c r="B678" s="1" t="n">
        <v>45063</v>
      </c>
      <c r="C678" s="1" t="n">
        <v>45692</v>
      </c>
      <c r="D678" t="inlineStr">
        <is>
          <t>KALMAR LÄN</t>
        </is>
      </c>
      <c r="E678" t="inlineStr">
        <is>
          <t>TORSÅS</t>
        </is>
      </c>
      <c r="G678" t="n">
        <v>0.5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21653-2023</t>
        </is>
      </c>
      <c r="B679" s="1" t="n">
        <v>45063</v>
      </c>
      <c r="C679" s="1" t="n">
        <v>45692</v>
      </c>
      <c r="D679" t="inlineStr">
        <is>
          <t>KALMAR LÄN</t>
        </is>
      </c>
      <c r="E679" t="inlineStr">
        <is>
          <t>TORSÅS</t>
        </is>
      </c>
      <c r="G679" t="n">
        <v>1.2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23091-2023</t>
        </is>
      </c>
      <c r="B680" s="1" t="n">
        <v>45075</v>
      </c>
      <c r="C680" s="1" t="n">
        <v>45692</v>
      </c>
      <c r="D680" t="inlineStr">
        <is>
          <t>KALMAR LÄN</t>
        </is>
      </c>
      <c r="E680" t="inlineStr">
        <is>
          <t>TORSÅS</t>
        </is>
      </c>
      <c r="G680" t="n">
        <v>1.4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23088-2023</t>
        </is>
      </c>
      <c r="B681" s="1" t="n">
        <v>45075</v>
      </c>
      <c r="C681" s="1" t="n">
        <v>45692</v>
      </c>
      <c r="D681" t="inlineStr">
        <is>
          <t>KALMAR LÄN</t>
        </is>
      </c>
      <c r="E681" t="inlineStr">
        <is>
          <t>TORSÅS</t>
        </is>
      </c>
      <c r="G681" t="n">
        <v>0.7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24471-2023</t>
        </is>
      </c>
      <c r="B682" s="1" t="n">
        <v>45082</v>
      </c>
      <c r="C682" s="1" t="n">
        <v>45692</v>
      </c>
      <c r="D682" t="inlineStr">
        <is>
          <t>KALMAR LÄN</t>
        </is>
      </c>
      <c r="E682" t="inlineStr">
        <is>
          <t>TORSÅS</t>
        </is>
      </c>
      <c r="G682" t="n">
        <v>4.2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24671-2023</t>
        </is>
      </c>
      <c r="B683" s="1" t="n">
        <v>45084</v>
      </c>
      <c r="C683" s="1" t="n">
        <v>45692</v>
      </c>
      <c r="D683" t="inlineStr">
        <is>
          <t>KALMAR LÄN</t>
        </is>
      </c>
      <c r="E683" t="inlineStr">
        <is>
          <t>TORSÅS</t>
        </is>
      </c>
      <c r="G683" t="n">
        <v>2.1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24666-2023</t>
        </is>
      </c>
      <c r="B684" s="1" t="n">
        <v>45084</v>
      </c>
      <c r="C684" s="1" t="n">
        <v>45692</v>
      </c>
      <c r="D684" t="inlineStr">
        <is>
          <t>KALMAR LÄN</t>
        </is>
      </c>
      <c r="E684" t="inlineStr">
        <is>
          <t>TORSÅS</t>
        </is>
      </c>
      <c r="G684" t="n">
        <v>0.7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25653-2023</t>
        </is>
      </c>
      <c r="B685" s="1" t="n">
        <v>45089</v>
      </c>
      <c r="C685" s="1" t="n">
        <v>45692</v>
      </c>
      <c r="D685" t="inlineStr">
        <is>
          <t>KALMAR LÄN</t>
        </is>
      </c>
      <c r="E685" t="inlineStr">
        <is>
          <t>TORSÅS</t>
        </is>
      </c>
      <c r="G685" t="n">
        <v>2.9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25755-2023</t>
        </is>
      </c>
      <c r="B686" s="1" t="n">
        <v>45090</v>
      </c>
      <c r="C686" s="1" t="n">
        <v>45692</v>
      </c>
      <c r="D686" t="inlineStr">
        <is>
          <t>KALMAR LÄN</t>
        </is>
      </c>
      <c r="E686" t="inlineStr">
        <is>
          <t>TORSÅS</t>
        </is>
      </c>
      <c r="G686" t="n">
        <v>1.8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25741-2023</t>
        </is>
      </c>
      <c r="B687" s="1" t="n">
        <v>45090</v>
      </c>
      <c r="C687" s="1" t="n">
        <v>45692</v>
      </c>
      <c r="D687" t="inlineStr">
        <is>
          <t>KALMAR LÄN</t>
        </is>
      </c>
      <c r="E687" t="inlineStr">
        <is>
          <t>TORSÅS</t>
        </is>
      </c>
      <c r="G687" t="n">
        <v>1.4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25750-2023</t>
        </is>
      </c>
      <c r="B688" s="1" t="n">
        <v>45090</v>
      </c>
      <c r="C688" s="1" t="n">
        <v>45692</v>
      </c>
      <c r="D688" t="inlineStr">
        <is>
          <t>KALMAR LÄN</t>
        </is>
      </c>
      <c r="E688" t="inlineStr">
        <is>
          <t>TORSÅS</t>
        </is>
      </c>
      <c r="G688" t="n">
        <v>0.7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25758-2023</t>
        </is>
      </c>
      <c r="B689" s="1" t="n">
        <v>45090</v>
      </c>
      <c r="C689" s="1" t="n">
        <v>45692</v>
      </c>
      <c r="D689" t="inlineStr">
        <is>
          <t>KALMAR LÄN</t>
        </is>
      </c>
      <c r="E689" t="inlineStr">
        <is>
          <t>TORSÅS</t>
        </is>
      </c>
      <c r="G689" t="n">
        <v>1.4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25752-2023</t>
        </is>
      </c>
      <c r="B690" s="1" t="n">
        <v>45090</v>
      </c>
      <c r="C690" s="1" t="n">
        <v>45692</v>
      </c>
      <c r="D690" t="inlineStr">
        <is>
          <t>KALMAR LÄN</t>
        </is>
      </c>
      <c r="E690" t="inlineStr">
        <is>
          <t>TORSÅS</t>
        </is>
      </c>
      <c r="G690" t="n">
        <v>0.6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26696-2023</t>
        </is>
      </c>
      <c r="B691" s="1" t="n">
        <v>45093</v>
      </c>
      <c r="C691" s="1" t="n">
        <v>45692</v>
      </c>
      <c r="D691" t="inlineStr">
        <is>
          <t>KALMAR LÄN</t>
        </is>
      </c>
      <c r="E691" t="inlineStr">
        <is>
          <t>TORSÅS</t>
        </is>
      </c>
      <c r="G691" t="n">
        <v>1.9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26700-2023</t>
        </is>
      </c>
      <c r="B692" s="1" t="n">
        <v>45093</v>
      </c>
      <c r="C692" s="1" t="n">
        <v>45692</v>
      </c>
      <c r="D692" t="inlineStr">
        <is>
          <t>KALMAR LÄN</t>
        </is>
      </c>
      <c r="E692" t="inlineStr">
        <is>
          <t>TORSÅS</t>
        </is>
      </c>
      <c r="G692" t="n">
        <v>4.3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26714-2023</t>
        </is>
      </c>
      <c r="B693" s="1" t="n">
        <v>45093</v>
      </c>
      <c r="C693" s="1" t="n">
        <v>45692</v>
      </c>
      <c r="D693" t="inlineStr">
        <is>
          <t>KALMAR LÄN</t>
        </is>
      </c>
      <c r="E693" t="inlineStr">
        <is>
          <t>TORSÅS</t>
        </is>
      </c>
      <c r="G693" t="n">
        <v>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26707-2023</t>
        </is>
      </c>
      <c r="B694" s="1" t="n">
        <v>45093</v>
      </c>
      <c r="C694" s="1" t="n">
        <v>45692</v>
      </c>
      <c r="D694" t="inlineStr">
        <is>
          <t>KALMAR LÄN</t>
        </is>
      </c>
      <c r="E694" t="inlineStr">
        <is>
          <t>TORSÅS</t>
        </is>
      </c>
      <c r="G694" t="n">
        <v>0.6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26711-2023</t>
        </is>
      </c>
      <c r="B695" s="1" t="n">
        <v>45093</v>
      </c>
      <c r="C695" s="1" t="n">
        <v>45692</v>
      </c>
      <c r="D695" t="inlineStr">
        <is>
          <t>KALMAR LÄN</t>
        </is>
      </c>
      <c r="E695" t="inlineStr">
        <is>
          <t>TORSÅS</t>
        </is>
      </c>
      <c r="G695" t="n">
        <v>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27275-2023</t>
        </is>
      </c>
      <c r="B696" s="1" t="n">
        <v>45096</v>
      </c>
      <c r="C696" s="1" t="n">
        <v>45692</v>
      </c>
      <c r="D696" t="inlineStr">
        <is>
          <t>KALMAR LÄN</t>
        </is>
      </c>
      <c r="E696" t="inlineStr">
        <is>
          <t>TORSÅS</t>
        </is>
      </c>
      <c r="G696" t="n">
        <v>1.1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27268-2023</t>
        </is>
      </c>
      <c r="B697" s="1" t="n">
        <v>45096</v>
      </c>
      <c r="C697" s="1" t="n">
        <v>45692</v>
      </c>
      <c r="D697" t="inlineStr">
        <is>
          <t>KALMAR LÄN</t>
        </is>
      </c>
      <c r="E697" t="inlineStr">
        <is>
          <t>TORSÅS</t>
        </is>
      </c>
      <c r="G697" t="n">
        <v>7.4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27776-2023</t>
        </is>
      </c>
      <c r="B698" s="1" t="n">
        <v>45098</v>
      </c>
      <c r="C698" s="1" t="n">
        <v>45692</v>
      </c>
      <c r="D698" t="inlineStr">
        <is>
          <t>KALMAR LÄN</t>
        </is>
      </c>
      <c r="E698" t="inlineStr">
        <is>
          <t>TORSÅS</t>
        </is>
      </c>
      <c r="G698" t="n">
        <v>3.4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27771-2023</t>
        </is>
      </c>
      <c r="B699" s="1" t="n">
        <v>45098</v>
      </c>
      <c r="C699" s="1" t="n">
        <v>45692</v>
      </c>
      <c r="D699" t="inlineStr">
        <is>
          <t>KALMAR LÄN</t>
        </is>
      </c>
      <c r="E699" t="inlineStr">
        <is>
          <t>TORSÅS</t>
        </is>
      </c>
      <c r="G699" t="n">
        <v>1.7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28454-2023</t>
        </is>
      </c>
      <c r="B700" s="1" t="n">
        <v>45103</v>
      </c>
      <c r="C700" s="1" t="n">
        <v>45692</v>
      </c>
      <c r="D700" t="inlineStr">
        <is>
          <t>KALMAR LÄN</t>
        </is>
      </c>
      <c r="E700" t="inlineStr">
        <is>
          <t>TORSÅS</t>
        </is>
      </c>
      <c r="G700" t="n">
        <v>2.3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28548-2023</t>
        </is>
      </c>
      <c r="B701" s="1" t="n">
        <v>45103</v>
      </c>
      <c r="C701" s="1" t="n">
        <v>45692</v>
      </c>
      <c r="D701" t="inlineStr">
        <is>
          <t>KALMAR LÄN</t>
        </is>
      </c>
      <c r="E701" t="inlineStr">
        <is>
          <t>TORSÅS</t>
        </is>
      </c>
      <c r="G701" t="n">
        <v>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28990-2023</t>
        </is>
      </c>
      <c r="B702" s="1" t="n">
        <v>45104</v>
      </c>
      <c r="C702" s="1" t="n">
        <v>45692</v>
      </c>
      <c r="D702" t="inlineStr">
        <is>
          <t>KALMAR LÄN</t>
        </is>
      </c>
      <c r="E702" t="inlineStr">
        <is>
          <t>TORSÅS</t>
        </is>
      </c>
      <c r="G702" t="n">
        <v>3.2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30864-2023</t>
        </is>
      </c>
      <c r="B703" s="1" t="n">
        <v>45113</v>
      </c>
      <c r="C703" s="1" t="n">
        <v>45692</v>
      </c>
      <c r="D703" t="inlineStr">
        <is>
          <t>KALMAR LÄN</t>
        </is>
      </c>
      <c r="E703" t="inlineStr">
        <is>
          <t>TORSÅS</t>
        </is>
      </c>
      <c r="G703" t="n">
        <v>2.6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30867-2023</t>
        </is>
      </c>
      <c r="B704" s="1" t="n">
        <v>45113</v>
      </c>
      <c r="C704" s="1" t="n">
        <v>45692</v>
      </c>
      <c r="D704" t="inlineStr">
        <is>
          <t>KALMAR LÄN</t>
        </is>
      </c>
      <c r="E704" t="inlineStr">
        <is>
          <t>TORSÅS</t>
        </is>
      </c>
      <c r="G704" t="n">
        <v>2.4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30871-2023</t>
        </is>
      </c>
      <c r="B705" s="1" t="n">
        <v>45113</v>
      </c>
      <c r="C705" s="1" t="n">
        <v>45692</v>
      </c>
      <c r="D705" t="inlineStr">
        <is>
          <t>KALMAR LÄN</t>
        </is>
      </c>
      <c r="E705" t="inlineStr">
        <is>
          <t>TORSÅS</t>
        </is>
      </c>
      <c r="G705" t="n">
        <v>0.6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30875-2023</t>
        </is>
      </c>
      <c r="B706" s="1" t="n">
        <v>45113</v>
      </c>
      <c r="C706" s="1" t="n">
        <v>45692</v>
      </c>
      <c r="D706" t="inlineStr">
        <is>
          <t>KALMAR LÄN</t>
        </is>
      </c>
      <c r="E706" t="inlineStr">
        <is>
          <t>TORSÅS</t>
        </is>
      </c>
      <c r="G706" t="n">
        <v>1.5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30874-2023</t>
        </is>
      </c>
      <c r="B707" s="1" t="n">
        <v>45113</v>
      </c>
      <c r="C707" s="1" t="n">
        <v>45692</v>
      </c>
      <c r="D707" t="inlineStr">
        <is>
          <t>KALMAR LÄN</t>
        </is>
      </c>
      <c r="E707" t="inlineStr">
        <is>
          <t>TORSÅS</t>
        </is>
      </c>
      <c r="G707" t="n">
        <v>0.5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30869-2023</t>
        </is>
      </c>
      <c r="B708" s="1" t="n">
        <v>45113</v>
      </c>
      <c r="C708" s="1" t="n">
        <v>45692</v>
      </c>
      <c r="D708" t="inlineStr">
        <is>
          <t>KALMAR LÄN</t>
        </is>
      </c>
      <c r="E708" t="inlineStr">
        <is>
          <t>TORSÅS</t>
        </is>
      </c>
      <c r="G708" t="n">
        <v>0.5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30873-2023</t>
        </is>
      </c>
      <c r="B709" s="1" t="n">
        <v>45113</v>
      </c>
      <c r="C709" s="1" t="n">
        <v>45692</v>
      </c>
      <c r="D709" t="inlineStr">
        <is>
          <t>KALMAR LÄN</t>
        </is>
      </c>
      <c r="E709" t="inlineStr">
        <is>
          <t>TORSÅS</t>
        </is>
      </c>
      <c r="G709" t="n">
        <v>1.1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30965-2023</t>
        </is>
      </c>
      <c r="B710" s="1" t="n">
        <v>45113</v>
      </c>
      <c r="C710" s="1" t="n">
        <v>45692</v>
      </c>
      <c r="D710" t="inlineStr">
        <is>
          <t>KALMAR LÄN</t>
        </is>
      </c>
      <c r="E710" t="inlineStr">
        <is>
          <t>TORSÅS</t>
        </is>
      </c>
      <c r="G710" t="n">
        <v>3.2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30969-2023</t>
        </is>
      </c>
      <c r="B711" s="1" t="n">
        <v>45113</v>
      </c>
      <c r="C711" s="1" t="n">
        <v>45692</v>
      </c>
      <c r="D711" t="inlineStr">
        <is>
          <t>KALMAR LÄN</t>
        </is>
      </c>
      <c r="E711" t="inlineStr">
        <is>
          <t>TORSÅS</t>
        </is>
      </c>
      <c r="G711" t="n">
        <v>2.3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31032-2023</t>
        </is>
      </c>
      <c r="B712" s="1" t="n">
        <v>45113</v>
      </c>
      <c r="C712" s="1" t="n">
        <v>45692</v>
      </c>
      <c r="D712" t="inlineStr">
        <is>
          <t>KALMAR LÄN</t>
        </is>
      </c>
      <c r="E712" t="inlineStr">
        <is>
          <t>TORSÅS</t>
        </is>
      </c>
      <c r="G712" t="n">
        <v>0.9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32574-2023</t>
        </is>
      </c>
      <c r="B713" s="1" t="n">
        <v>45121</v>
      </c>
      <c r="C713" s="1" t="n">
        <v>45692</v>
      </c>
      <c r="D713" t="inlineStr">
        <is>
          <t>KALMAR LÄN</t>
        </is>
      </c>
      <c r="E713" t="inlineStr">
        <is>
          <t>TORSÅS</t>
        </is>
      </c>
      <c r="G713" t="n">
        <v>0.5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32573-2023</t>
        </is>
      </c>
      <c r="B714" s="1" t="n">
        <v>45121</v>
      </c>
      <c r="C714" s="1" t="n">
        <v>45692</v>
      </c>
      <c r="D714" t="inlineStr">
        <is>
          <t>KALMAR LÄN</t>
        </is>
      </c>
      <c r="E714" t="inlineStr">
        <is>
          <t>TORSÅS</t>
        </is>
      </c>
      <c r="G714" t="n">
        <v>0.7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33057-2023</t>
        </is>
      </c>
      <c r="B715" s="1" t="n">
        <v>45126</v>
      </c>
      <c r="C715" s="1" t="n">
        <v>45692</v>
      </c>
      <c r="D715" t="inlineStr">
        <is>
          <t>KALMAR LÄN</t>
        </is>
      </c>
      <c r="E715" t="inlineStr">
        <is>
          <t>TORSÅS</t>
        </is>
      </c>
      <c r="G715" t="n">
        <v>2.6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33054-2023</t>
        </is>
      </c>
      <c r="B716" s="1" t="n">
        <v>45126</v>
      </c>
      <c r="C716" s="1" t="n">
        <v>45692</v>
      </c>
      <c r="D716" t="inlineStr">
        <is>
          <t>KALMAR LÄN</t>
        </is>
      </c>
      <c r="E716" t="inlineStr">
        <is>
          <t>TORSÅS</t>
        </is>
      </c>
      <c r="G716" t="n">
        <v>3.9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33594-2023</t>
        </is>
      </c>
      <c r="B717" s="1" t="n">
        <v>45132</v>
      </c>
      <c r="C717" s="1" t="n">
        <v>45692</v>
      </c>
      <c r="D717" t="inlineStr">
        <is>
          <t>KALMAR LÄN</t>
        </is>
      </c>
      <c r="E717" t="inlineStr">
        <is>
          <t>TORSÅS</t>
        </is>
      </c>
      <c r="G717" t="n">
        <v>3.2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33602-2023</t>
        </is>
      </c>
      <c r="B718" s="1" t="n">
        <v>45132</v>
      </c>
      <c r="C718" s="1" t="n">
        <v>45692</v>
      </c>
      <c r="D718" t="inlineStr">
        <is>
          <t>KALMAR LÄN</t>
        </is>
      </c>
      <c r="E718" t="inlineStr">
        <is>
          <t>TORSÅS</t>
        </is>
      </c>
      <c r="G718" t="n">
        <v>4.1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33603-2023</t>
        </is>
      </c>
      <c r="B719" s="1" t="n">
        <v>45132</v>
      </c>
      <c r="C719" s="1" t="n">
        <v>45692</v>
      </c>
      <c r="D719" t="inlineStr">
        <is>
          <t>KALMAR LÄN</t>
        </is>
      </c>
      <c r="E719" t="inlineStr">
        <is>
          <t>TORSÅS</t>
        </is>
      </c>
      <c r="G719" t="n">
        <v>4.8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34346-2023</t>
        </is>
      </c>
      <c r="B720" s="1" t="n">
        <v>45139</v>
      </c>
      <c r="C720" s="1" t="n">
        <v>45692</v>
      </c>
      <c r="D720" t="inlineStr">
        <is>
          <t>KALMAR LÄN</t>
        </is>
      </c>
      <c r="E720" t="inlineStr">
        <is>
          <t>TORSÅS</t>
        </is>
      </c>
      <c r="G720" t="n">
        <v>1.6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34382-2023</t>
        </is>
      </c>
      <c r="B721" s="1" t="n">
        <v>45139</v>
      </c>
      <c r="C721" s="1" t="n">
        <v>45692</v>
      </c>
      <c r="D721" t="inlineStr">
        <is>
          <t>KALMAR LÄN</t>
        </is>
      </c>
      <c r="E721" t="inlineStr">
        <is>
          <t>TORSÅS</t>
        </is>
      </c>
      <c r="G721" t="n">
        <v>2.9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34432-2023</t>
        </is>
      </c>
      <c r="B722" s="1" t="n">
        <v>45139</v>
      </c>
      <c r="C722" s="1" t="n">
        <v>45692</v>
      </c>
      <c r="D722" t="inlineStr">
        <is>
          <t>KALMAR LÄN</t>
        </is>
      </c>
      <c r="E722" t="inlineStr">
        <is>
          <t>TORSÅS</t>
        </is>
      </c>
      <c r="G722" t="n">
        <v>0.7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35049-2023</t>
        </is>
      </c>
      <c r="B723" s="1" t="n">
        <v>45145</v>
      </c>
      <c r="C723" s="1" t="n">
        <v>45692</v>
      </c>
      <c r="D723" t="inlineStr">
        <is>
          <t>KALMAR LÄN</t>
        </is>
      </c>
      <c r="E723" t="inlineStr">
        <is>
          <t>TORSÅS</t>
        </is>
      </c>
      <c r="G723" t="n">
        <v>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35046-2023</t>
        </is>
      </c>
      <c r="B724" s="1" t="n">
        <v>45145</v>
      </c>
      <c r="C724" s="1" t="n">
        <v>45692</v>
      </c>
      <c r="D724" t="inlineStr">
        <is>
          <t>KALMAR LÄN</t>
        </is>
      </c>
      <c r="E724" t="inlineStr">
        <is>
          <t>TORSÅS</t>
        </is>
      </c>
      <c r="G724" t="n">
        <v>1.1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35048-2023</t>
        </is>
      </c>
      <c r="B725" s="1" t="n">
        <v>45145</v>
      </c>
      <c r="C725" s="1" t="n">
        <v>45692</v>
      </c>
      <c r="D725" t="inlineStr">
        <is>
          <t>KALMAR LÄN</t>
        </is>
      </c>
      <c r="E725" t="inlineStr">
        <is>
          <t>TORSÅS</t>
        </is>
      </c>
      <c r="G725" t="n">
        <v>0.9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35116-2023</t>
        </is>
      </c>
      <c r="B726" s="1" t="n">
        <v>45145</v>
      </c>
      <c r="C726" s="1" t="n">
        <v>45692</v>
      </c>
      <c r="D726" t="inlineStr">
        <is>
          <t>KALMAR LÄN</t>
        </is>
      </c>
      <c r="E726" t="inlineStr">
        <is>
          <t>TORSÅS</t>
        </is>
      </c>
      <c r="G726" t="n">
        <v>6.5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36517-2023</t>
        </is>
      </c>
      <c r="B727" s="1" t="n">
        <v>45153</v>
      </c>
      <c r="C727" s="1" t="n">
        <v>45692</v>
      </c>
      <c r="D727" t="inlineStr">
        <is>
          <t>KALMAR LÄN</t>
        </is>
      </c>
      <c r="E727" t="inlineStr">
        <is>
          <t>TORSÅS</t>
        </is>
      </c>
      <c r="G727" t="n">
        <v>0.7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36590-2023</t>
        </is>
      </c>
      <c r="B728" s="1" t="n">
        <v>45153</v>
      </c>
      <c r="C728" s="1" t="n">
        <v>45692</v>
      </c>
      <c r="D728" t="inlineStr">
        <is>
          <t>KALMAR LÄN</t>
        </is>
      </c>
      <c r="E728" t="inlineStr">
        <is>
          <t>TORSÅS</t>
        </is>
      </c>
      <c r="G728" t="n">
        <v>1.6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37091-2023</t>
        </is>
      </c>
      <c r="B729" s="1" t="n">
        <v>45155</v>
      </c>
      <c r="C729" s="1" t="n">
        <v>45692</v>
      </c>
      <c r="D729" t="inlineStr">
        <is>
          <t>KALMAR LÄN</t>
        </is>
      </c>
      <c r="E729" t="inlineStr">
        <is>
          <t>TORSÅS</t>
        </is>
      </c>
      <c r="G729" t="n">
        <v>1.3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37166-2023</t>
        </is>
      </c>
      <c r="B730" s="1" t="n">
        <v>45155</v>
      </c>
      <c r="C730" s="1" t="n">
        <v>45692</v>
      </c>
      <c r="D730" t="inlineStr">
        <is>
          <t>KALMAR LÄN</t>
        </is>
      </c>
      <c r="E730" t="inlineStr">
        <is>
          <t>TORSÅS</t>
        </is>
      </c>
      <c r="G730" t="n">
        <v>2.8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37168-2023</t>
        </is>
      </c>
      <c r="B731" s="1" t="n">
        <v>45155</v>
      </c>
      <c r="C731" s="1" t="n">
        <v>45692</v>
      </c>
      <c r="D731" t="inlineStr">
        <is>
          <t>KALMAR LÄN</t>
        </is>
      </c>
      <c r="E731" t="inlineStr">
        <is>
          <t>TORSÅS</t>
        </is>
      </c>
      <c r="G731" t="n">
        <v>1.2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37212-2023</t>
        </is>
      </c>
      <c r="B732" s="1" t="n">
        <v>45155</v>
      </c>
      <c r="C732" s="1" t="n">
        <v>45692</v>
      </c>
      <c r="D732" t="inlineStr">
        <is>
          <t>KALMAR LÄN</t>
        </is>
      </c>
      <c r="E732" t="inlineStr">
        <is>
          <t>TORSÅS</t>
        </is>
      </c>
      <c r="G732" t="n">
        <v>2.7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37169-2023</t>
        </is>
      </c>
      <c r="B733" s="1" t="n">
        <v>45155</v>
      </c>
      <c r="C733" s="1" t="n">
        <v>45692</v>
      </c>
      <c r="D733" t="inlineStr">
        <is>
          <t>KALMAR LÄN</t>
        </is>
      </c>
      <c r="E733" t="inlineStr">
        <is>
          <t>TORSÅS</t>
        </is>
      </c>
      <c r="G733" t="n">
        <v>3.2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37210-2023</t>
        </is>
      </c>
      <c r="B734" s="1" t="n">
        <v>45155</v>
      </c>
      <c r="C734" s="1" t="n">
        <v>45692</v>
      </c>
      <c r="D734" t="inlineStr">
        <is>
          <t>KALMAR LÄN</t>
        </is>
      </c>
      <c r="E734" t="inlineStr">
        <is>
          <t>TORSÅS</t>
        </is>
      </c>
      <c r="G734" t="n">
        <v>0.5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37551-2023</t>
        </is>
      </c>
      <c r="B735" s="1" t="n">
        <v>45159</v>
      </c>
      <c r="C735" s="1" t="n">
        <v>45692</v>
      </c>
      <c r="D735" t="inlineStr">
        <is>
          <t>KALMAR LÄN</t>
        </is>
      </c>
      <c r="E735" t="inlineStr">
        <is>
          <t>TORSÅS</t>
        </is>
      </c>
      <c r="G735" t="n">
        <v>0.6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38149-2023</t>
        </is>
      </c>
      <c r="B736" s="1" t="n">
        <v>45161</v>
      </c>
      <c r="C736" s="1" t="n">
        <v>45692</v>
      </c>
      <c r="D736" t="inlineStr">
        <is>
          <t>KALMAR LÄN</t>
        </is>
      </c>
      <c r="E736" t="inlineStr">
        <is>
          <t>TORSÅS</t>
        </is>
      </c>
      <c r="G736" t="n">
        <v>5.4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38114-2023</t>
        </is>
      </c>
      <c r="B737" s="1" t="n">
        <v>45161</v>
      </c>
      <c r="C737" s="1" t="n">
        <v>45692</v>
      </c>
      <c r="D737" t="inlineStr">
        <is>
          <t>KALMAR LÄN</t>
        </is>
      </c>
      <c r="E737" t="inlineStr">
        <is>
          <t>TORSÅS</t>
        </is>
      </c>
      <c r="G737" t="n">
        <v>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38118-2023</t>
        </is>
      </c>
      <c r="B738" s="1" t="n">
        <v>45161</v>
      </c>
      <c r="C738" s="1" t="n">
        <v>45692</v>
      </c>
      <c r="D738" t="inlineStr">
        <is>
          <t>KALMAR LÄN</t>
        </is>
      </c>
      <c r="E738" t="inlineStr">
        <is>
          <t>TORSÅS</t>
        </is>
      </c>
      <c r="G738" t="n">
        <v>2.6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38827-2023</t>
        </is>
      </c>
      <c r="B739" s="1" t="n">
        <v>45163</v>
      </c>
      <c r="C739" s="1" t="n">
        <v>45692</v>
      </c>
      <c r="D739" t="inlineStr">
        <is>
          <t>KALMAR LÄN</t>
        </is>
      </c>
      <c r="E739" t="inlineStr">
        <is>
          <t>TORSÅS</t>
        </is>
      </c>
      <c r="G739" t="n">
        <v>4.8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38847-2023</t>
        </is>
      </c>
      <c r="B740" s="1" t="n">
        <v>45163</v>
      </c>
      <c r="C740" s="1" t="n">
        <v>45692</v>
      </c>
      <c r="D740" t="inlineStr">
        <is>
          <t>KALMAR LÄN</t>
        </is>
      </c>
      <c r="E740" t="inlineStr">
        <is>
          <t>TORSÅS</t>
        </is>
      </c>
      <c r="G740" t="n">
        <v>0.5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38850-2023</t>
        </is>
      </c>
      <c r="B741" s="1" t="n">
        <v>45163</v>
      </c>
      <c r="C741" s="1" t="n">
        <v>45692</v>
      </c>
      <c r="D741" t="inlineStr">
        <is>
          <t>KALMAR LÄN</t>
        </is>
      </c>
      <c r="E741" t="inlineStr">
        <is>
          <t>TORSÅS</t>
        </is>
      </c>
      <c r="G741" t="n">
        <v>1.2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40046-2023</t>
        </is>
      </c>
      <c r="B742" s="1" t="n">
        <v>45167</v>
      </c>
      <c r="C742" s="1" t="n">
        <v>45692</v>
      </c>
      <c r="D742" t="inlineStr">
        <is>
          <t>KALMAR LÄN</t>
        </is>
      </c>
      <c r="E742" t="inlineStr">
        <is>
          <t>TORSÅS</t>
        </is>
      </c>
      <c r="G742" t="n">
        <v>0.7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40047-2023</t>
        </is>
      </c>
      <c r="B743" s="1" t="n">
        <v>45167</v>
      </c>
      <c r="C743" s="1" t="n">
        <v>45692</v>
      </c>
      <c r="D743" t="inlineStr">
        <is>
          <t>KALMAR LÄN</t>
        </is>
      </c>
      <c r="E743" t="inlineStr">
        <is>
          <t>TORSÅS</t>
        </is>
      </c>
      <c r="G743" t="n">
        <v>1.1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40932-2023</t>
        </is>
      </c>
      <c r="B744" s="1" t="n">
        <v>45173</v>
      </c>
      <c r="C744" s="1" t="n">
        <v>45692</v>
      </c>
      <c r="D744" t="inlineStr">
        <is>
          <t>KALMAR LÄN</t>
        </is>
      </c>
      <c r="E744" t="inlineStr">
        <is>
          <t>TORSÅS</t>
        </is>
      </c>
      <c r="G744" t="n">
        <v>1.8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42172-2023</t>
        </is>
      </c>
      <c r="B745" s="1" t="n">
        <v>45178</v>
      </c>
      <c r="C745" s="1" t="n">
        <v>45692</v>
      </c>
      <c r="D745" t="inlineStr">
        <is>
          <t>KALMAR LÄN</t>
        </is>
      </c>
      <c r="E745" t="inlineStr">
        <is>
          <t>TORSÅS</t>
        </is>
      </c>
      <c r="G745" t="n">
        <v>5.4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42700-2023</t>
        </is>
      </c>
      <c r="B746" s="1" t="n">
        <v>45181</v>
      </c>
      <c r="C746" s="1" t="n">
        <v>45692</v>
      </c>
      <c r="D746" t="inlineStr">
        <is>
          <t>KALMAR LÄN</t>
        </is>
      </c>
      <c r="E746" t="inlineStr">
        <is>
          <t>TORSÅS</t>
        </is>
      </c>
      <c r="G746" t="n">
        <v>4.8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42897-2023</t>
        </is>
      </c>
      <c r="B747" s="1" t="n">
        <v>45182</v>
      </c>
      <c r="C747" s="1" t="n">
        <v>45692</v>
      </c>
      <c r="D747" t="inlineStr">
        <is>
          <t>KALMAR LÄN</t>
        </is>
      </c>
      <c r="E747" t="inlineStr">
        <is>
          <t>TORSÅS</t>
        </is>
      </c>
      <c r="G747" t="n">
        <v>0.3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42909-2023</t>
        </is>
      </c>
      <c r="B748" s="1" t="n">
        <v>45182</v>
      </c>
      <c r="C748" s="1" t="n">
        <v>45692</v>
      </c>
      <c r="D748" t="inlineStr">
        <is>
          <t>KALMAR LÄN</t>
        </is>
      </c>
      <c r="E748" t="inlineStr">
        <is>
          <t>TORSÅS</t>
        </is>
      </c>
      <c r="G748" t="n">
        <v>0.4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42910-2023</t>
        </is>
      </c>
      <c r="B749" s="1" t="n">
        <v>45182</v>
      </c>
      <c r="C749" s="1" t="n">
        <v>45692</v>
      </c>
      <c r="D749" t="inlineStr">
        <is>
          <t>KALMAR LÄN</t>
        </is>
      </c>
      <c r="E749" t="inlineStr">
        <is>
          <t>TORSÅS</t>
        </is>
      </c>
      <c r="G749" t="n">
        <v>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42911-2023</t>
        </is>
      </c>
      <c r="B750" s="1" t="n">
        <v>45182</v>
      </c>
      <c r="C750" s="1" t="n">
        <v>45692</v>
      </c>
      <c r="D750" t="inlineStr">
        <is>
          <t>KALMAR LÄN</t>
        </is>
      </c>
      <c r="E750" t="inlineStr">
        <is>
          <t>TORSÅS</t>
        </is>
      </c>
      <c r="G750" t="n">
        <v>2.7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42920-2023</t>
        </is>
      </c>
      <c r="B751" s="1" t="n">
        <v>45182</v>
      </c>
      <c r="C751" s="1" t="n">
        <v>45692</v>
      </c>
      <c r="D751" t="inlineStr">
        <is>
          <t>KALMAR LÄN</t>
        </is>
      </c>
      <c r="E751" t="inlineStr">
        <is>
          <t>TORSÅS</t>
        </is>
      </c>
      <c r="G751" t="n">
        <v>1.9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42908-2023</t>
        </is>
      </c>
      <c r="B752" s="1" t="n">
        <v>45182</v>
      </c>
      <c r="C752" s="1" t="n">
        <v>45692</v>
      </c>
      <c r="D752" t="inlineStr">
        <is>
          <t>KALMAR LÄN</t>
        </is>
      </c>
      <c r="E752" t="inlineStr">
        <is>
          <t>TORSÅS</t>
        </is>
      </c>
      <c r="G752" t="n">
        <v>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42912-2023</t>
        </is>
      </c>
      <c r="B753" s="1" t="n">
        <v>45182</v>
      </c>
      <c r="C753" s="1" t="n">
        <v>45692</v>
      </c>
      <c r="D753" t="inlineStr">
        <is>
          <t>KALMAR LÄN</t>
        </is>
      </c>
      <c r="E753" t="inlineStr">
        <is>
          <t>TORSÅS</t>
        </is>
      </c>
      <c r="G753" t="n">
        <v>0.4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43174-2023</t>
        </is>
      </c>
      <c r="B754" s="1" t="n">
        <v>45183</v>
      </c>
      <c r="C754" s="1" t="n">
        <v>45692</v>
      </c>
      <c r="D754" t="inlineStr">
        <is>
          <t>KALMAR LÄN</t>
        </is>
      </c>
      <c r="E754" t="inlineStr">
        <is>
          <t>TORSÅS</t>
        </is>
      </c>
      <c r="G754" t="n">
        <v>0.9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45466-2023</t>
        </is>
      </c>
      <c r="B755" s="1" t="n">
        <v>45194</v>
      </c>
      <c r="C755" s="1" t="n">
        <v>45692</v>
      </c>
      <c r="D755" t="inlineStr">
        <is>
          <t>KALMAR LÄN</t>
        </is>
      </c>
      <c r="E755" t="inlineStr">
        <is>
          <t>TORSÅS</t>
        </is>
      </c>
      <c r="G755" t="n">
        <v>0.7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45555-2023</t>
        </is>
      </c>
      <c r="B756" s="1" t="n">
        <v>45194</v>
      </c>
      <c r="C756" s="1" t="n">
        <v>45692</v>
      </c>
      <c r="D756" t="inlineStr">
        <is>
          <t>KALMAR LÄN</t>
        </is>
      </c>
      <c r="E756" t="inlineStr">
        <is>
          <t>TORSÅS</t>
        </is>
      </c>
      <c r="F756" t="inlineStr">
        <is>
          <t>Kommuner</t>
        </is>
      </c>
      <c r="G756" t="n">
        <v>0.5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45568-2023</t>
        </is>
      </c>
      <c r="B757" s="1" t="n">
        <v>45194</v>
      </c>
      <c r="C757" s="1" t="n">
        <v>45692</v>
      </c>
      <c r="D757" t="inlineStr">
        <is>
          <t>KALMAR LÄN</t>
        </is>
      </c>
      <c r="E757" t="inlineStr">
        <is>
          <t>TORSÅS</t>
        </is>
      </c>
      <c r="G757" t="n">
        <v>4.3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45463-2023</t>
        </is>
      </c>
      <c r="B758" s="1" t="n">
        <v>45194</v>
      </c>
      <c r="C758" s="1" t="n">
        <v>45692</v>
      </c>
      <c r="D758" t="inlineStr">
        <is>
          <t>KALMAR LÄN</t>
        </is>
      </c>
      <c r="E758" t="inlineStr">
        <is>
          <t>TORSÅS</t>
        </is>
      </c>
      <c r="G758" t="n">
        <v>3.3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45471-2023</t>
        </is>
      </c>
      <c r="B759" s="1" t="n">
        <v>45194</v>
      </c>
      <c r="C759" s="1" t="n">
        <v>45692</v>
      </c>
      <c r="D759" t="inlineStr">
        <is>
          <t>KALMAR LÄN</t>
        </is>
      </c>
      <c r="E759" t="inlineStr">
        <is>
          <t>TORSÅS</t>
        </is>
      </c>
      <c r="G759" t="n">
        <v>3.6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45556-2023</t>
        </is>
      </c>
      <c r="B760" s="1" t="n">
        <v>45194</v>
      </c>
      <c r="C760" s="1" t="n">
        <v>45692</v>
      </c>
      <c r="D760" t="inlineStr">
        <is>
          <t>KALMAR LÄN</t>
        </is>
      </c>
      <c r="E760" t="inlineStr">
        <is>
          <t>TORSÅS</t>
        </is>
      </c>
      <c r="G760" t="n">
        <v>1.2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45467-2023</t>
        </is>
      </c>
      <c r="B761" s="1" t="n">
        <v>45194</v>
      </c>
      <c r="C761" s="1" t="n">
        <v>45692</v>
      </c>
      <c r="D761" t="inlineStr">
        <is>
          <t>KALMAR LÄN</t>
        </is>
      </c>
      <c r="E761" t="inlineStr">
        <is>
          <t>TORSÅS</t>
        </is>
      </c>
      <c r="G761" t="n">
        <v>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45686-2023</t>
        </is>
      </c>
      <c r="B762" s="1" t="n">
        <v>45195</v>
      </c>
      <c r="C762" s="1" t="n">
        <v>45692</v>
      </c>
      <c r="D762" t="inlineStr">
        <is>
          <t>KALMAR LÄN</t>
        </is>
      </c>
      <c r="E762" t="inlineStr">
        <is>
          <t>TORSÅS</t>
        </is>
      </c>
      <c r="G762" t="n">
        <v>1.9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45690-2023</t>
        </is>
      </c>
      <c r="B763" s="1" t="n">
        <v>45195</v>
      </c>
      <c r="C763" s="1" t="n">
        <v>45692</v>
      </c>
      <c r="D763" t="inlineStr">
        <is>
          <t>KALMAR LÄN</t>
        </is>
      </c>
      <c r="E763" t="inlineStr">
        <is>
          <t>TORSÅS</t>
        </is>
      </c>
      <c r="G763" t="n">
        <v>0.5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46030-2023</t>
        </is>
      </c>
      <c r="B764" s="1" t="n">
        <v>45196</v>
      </c>
      <c r="C764" s="1" t="n">
        <v>45692</v>
      </c>
      <c r="D764" t="inlineStr">
        <is>
          <t>KALMAR LÄN</t>
        </is>
      </c>
      <c r="E764" t="inlineStr">
        <is>
          <t>TORSÅS</t>
        </is>
      </c>
      <c r="G764" t="n">
        <v>3.1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46038-2023</t>
        </is>
      </c>
      <c r="B765" s="1" t="n">
        <v>45196</v>
      </c>
      <c r="C765" s="1" t="n">
        <v>45692</v>
      </c>
      <c r="D765" t="inlineStr">
        <is>
          <t>KALMAR LÄN</t>
        </is>
      </c>
      <c r="E765" t="inlineStr">
        <is>
          <t>TORSÅS</t>
        </is>
      </c>
      <c r="G765" t="n">
        <v>2.9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46082-2023</t>
        </is>
      </c>
      <c r="B766" s="1" t="n">
        <v>45196</v>
      </c>
      <c r="C766" s="1" t="n">
        <v>45692</v>
      </c>
      <c r="D766" t="inlineStr">
        <is>
          <t>KALMAR LÄN</t>
        </is>
      </c>
      <c r="E766" t="inlineStr">
        <is>
          <t>TORSÅS</t>
        </is>
      </c>
      <c r="G766" t="n">
        <v>1.6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46572-2023</t>
        </is>
      </c>
      <c r="B767" s="1" t="n">
        <v>45198</v>
      </c>
      <c r="C767" s="1" t="n">
        <v>45692</v>
      </c>
      <c r="D767" t="inlineStr">
        <is>
          <t>KALMAR LÄN</t>
        </is>
      </c>
      <c r="E767" t="inlineStr">
        <is>
          <t>TORSÅS</t>
        </is>
      </c>
      <c r="G767" t="n">
        <v>1.9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46607-2023</t>
        </is>
      </c>
      <c r="B768" s="1" t="n">
        <v>45198</v>
      </c>
      <c r="C768" s="1" t="n">
        <v>45692</v>
      </c>
      <c r="D768" t="inlineStr">
        <is>
          <t>KALMAR LÄN</t>
        </is>
      </c>
      <c r="E768" t="inlineStr">
        <is>
          <t>TORSÅS</t>
        </is>
      </c>
      <c r="G768" t="n">
        <v>0.5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46661-2023</t>
        </is>
      </c>
      <c r="B769" s="1" t="n">
        <v>45198</v>
      </c>
      <c r="C769" s="1" t="n">
        <v>45692</v>
      </c>
      <c r="D769" t="inlineStr">
        <is>
          <t>KALMAR LÄN</t>
        </is>
      </c>
      <c r="E769" t="inlineStr">
        <is>
          <t>TORSÅS</t>
        </is>
      </c>
      <c r="G769" t="n">
        <v>2.7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47003-2023</t>
        </is>
      </c>
      <c r="B770" s="1" t="n">
        <v>45201</v>
      </c>
      <c r="C770" s="1" t="n">
        <v>45692</v>
      </c>
      <c r="D770" t="inlineStr">
        <is>
          <t>KALMAR LÄN</t>
        </is>
      </c>
      <c r="E770" t="inlineStr">
        <is>
          <t>TORSÅS</t>
        </is>
      </c>
      <c r="G770" t="n">
        <v>1.9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47004-2023</t>
        </is>
      </c>
      <c r="B771" s="1" t="n">
        <v>45201</v>
      </c>
      <c r="C771" s="1" t="n">
        <v>45692</v>
      </c>
      <c r="D771" t="inlineStr">
        <is>
          <t>KALMAR LÄN</t>
        </is>
      </c>
      <c r="E771" t="inlineStr">
        <is>
          <t>TORSÅS</t>
        </is>
      </c>
      <c r="G771" t="n">
        <v>1.7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47217-2023</t>
        </is>
      </c>
      <c r="B772" s="1" t="n">
        <v>45202</v>
      </c>
      <c r="C772" s="1" t="n">
        <v>45692</v>
      </c>
      <c r="D772" t="inlineStr">
        <is>
          <t>KALMAR LÄN</t>
        </is>
      </c>
      <c r="E772" t="inlineStr">
        <is>
          <t>TORSÅS</t>
        </is>
      </c>
      <c r="G772" t="n">
        <v>1.5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48543-2023</t>
        </is>
      </c>
      <c r="B773" s="1" t="n">
        <v>45208</v>
      </c>
      <c r="C773" s="1" t="n">
        <v>45692</v>
      </c>
      <c r="D773" t="inlineStr">
        <is>
          <t>KALMAR LÄN</t>
        </is>
      </c>
      <c r="E773" t="inlineStr">
        <is>
          <t>TORSÅS</t>
        </is>
      </c>
      <c r="G773" t="n">
        <v>1.7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48526-2023</t>
        </is>
      </c>
      <c r="B774" s="1" t="n">
        <v>45208</v>
      </c>
      <c r="C774" s="1" t="n">
        <v>45692</v>
      </c>
      <c r="D774" t="inlineStr">
        <is>
          <t>KALMAR LÄN</t>
        </is>
      </c>
      <c r="E774" t="inlineStr">
        <is>
          <t>TORSÅS</t>
        </is>
      </c>
      <c r="G774" t="n">
        <v>5.7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48546-2023</t>
        </is>
      </c>
      <c r="B775" s="1" t="n">
        <v>45208</v>
      </c>
      <c r="C775" s="1" t="n">
        <v>45692</v>
      </c>
      <c r="D775" t="inlineStr">
        <is>
          <t>KALMAR LÄN</t>
        </is>
      </c>
      <c r="E775" t="inlineStr">
        <is>
          <t>TORSÅS</t>
        </is>
      </c>
      <c r="G775" t="n">
        <v>1.5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48532-2023</t>
        </is>
      </c>
      <c r="B776" s="1" t="n">
        <v>45208</v>
      </c>
      <c r="C776" s="1" t="n">
        <v>45692</v>
      </c>
      <c r="D776" t="inlineStr">
        <is>
          <t>KALMAR LÄN</t>
        </is>
      </c>
      <c r="E776" t="inlineStr">
        <is>
          <t>TORSÅS</t>
        </is>
      </c>
      <c r="G776" t="n">
        <v>0.8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48540-2023</t>
        </is>
      </c>
      <c r="B777" s="1" t="n">
        <v>45208</v>
      </c>
      <c r="C777" s="1" t="n">
        <v>45692</v>
      </c>
      <c r="D777" t="inlineStr">
        <is>
          <t>KALMAR LÄN</t>
        </is>
      </c>
      <c r="E777" t="inlineStr">
        <is>
          <t>TORSÅS</t>
        </is>
      </c>
      <c r="G777" t="n">
        <v>2.5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49129-2023</t>
        </is>
      </c>
      <c r="B778" s="1" t="n">
        <v>45210</v>
      </c>
      <c r="C778" s="1" t="n">
        <v>45692</v>
      </c>
      <c r="D778" t="inlineStr">
        <is>
          <t>KALMAR LÄN</t>
        </is>
      </c>
      <c r="E778" t="inlineStr">
        <is>
          <t>TORSÅS</t>
        </is>
      </c>
      <c r="G778" t="n">
        <v>0.8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51278-2023</t>
        </is>
      </c>
      <c r="B779" s="1" t="n">
        <v>45219</v>
      </c>
      <c r="C779" s="1" t="n">
        <v>45692</v>
      </c>
      <c r="D779" t="inlineStr">
        <is>
          <t>KALMAR LÄN</t>
        </is>
      </c>
      <c r="E779" t="inlineStr">
        <is>
          <t>TORSÅS</t>
        </is>
      </c>
      <c r="G779" t="n">
        <v>1.8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51267-2023</t>
        </is>
      </c>
      <c r="B780" s="1" t="n">
        <v>45219</v>
      </c>
      <c r="C780" s="1" t="n">
        <v>45692</v>
      </c>
      <c r="D780" t="inlineStr">
        <is>
          <t>KALMAR LÄN</t>
        </is>
      </c>
      <c r="E780" t="inlineStr">
        <is>
          <t>TORSÅS</t>
        </is>
      </c>
      <c r="G780" t="n">
        <v>2.6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51263-2023</t>
        </is>
      </c>
      <c r="B781" s="1" t="n">
        <v>45219</v>
      </c>
      <c r="C781" s="1" t="n">
        <v>45692</v>
      </c>
      <c r="D781" t="inlineStr">
        <is>
          <t>KALMAR LÄN</t>
        </is>
      </c>
      <c r="E781" t="inlineStr">
        <is>
          <t>TORSÅS</t>
        </is>
      </c>
      <c r="G781" t="n">
        <v>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51275-2023</t>
        </is>
      </c>
      <c r="B782" s="1" t="n">
        <v>45219</v>
      </c>
      <c r="C782" s="1" t="n">
        <v>45692</v>
      </c>
      <c r="D782" t="inlineStr">
        <is>
          <t>KALMAR LÄN</t>
        </is>
      </c>
      <c r="E782" t="inlineStr">
        <is>
          <t>TORSÅS</t>
        </is>
      </c>
      <c r="G782" t="n">
        <v>1.8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51274-2023</t>
        </is>
      </c>
      <c r="B783" s="1" t="n">
        <v>45219</v>
      </c>
      <c r="C783" s="1" t="n">
        <v>45692</v>
      </c>
      <c r="D783" t="inlineStr">
        <is>
          <t>KALMAR LÄN</t>
        </is>
      </c>
      <c r="E783" t="inlineStr">
        <is>
          <t>TORSÅS</t>
        </is>
      </c>
      <c r="G783" t="n">
        <v>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51276-2023</t>
        </is>
      </c>
      <c r="B784" s="1" t="n">
        <v>45219</v>
      </c>
      <c r="C784" s="1" t="n">
        <v>45692</v>
      </c>
      <c r="D784" t="inlineStr">
        <is>
          <t>KALMAR LÄN</t>
        </is>
      </c>
      <c r="E784" t="inlineStr">
        <is>
          <t>TORSÅS</t>
        </is>
      </c>
      <c r="G784" t="n">
        <v>1.2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51771-2023</t>
        </is>
      </c>
      <c r="B785" s="1" t="n">
        <v>45222</v>
      </c>
      <c r="C785" s="1" t="n">
        <v>45692</v>
      </c>
      <c r="D785" t="inlineStr">
        <is>
          <t>KALMAR LÄN</t>
        </is>
      </c>
      <c r="E785" t="inlineStr">
        <is>
          <t>TORSÅS</t>
        </is>
      </c>
      <c r="G785" t="n">
        <v>1.8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51605-2023</t>
        </is>
      </c>
      <c r="B786" s="1" t="n">
        <v>45222</v>
      </c>
      <c r="C786" s="1" t="n">
        <v>45692</v>
      </c>
      <c r="D786" t="inlineStr">
        <is>
          <t>KALMAR LÄN</t>
        </is>
      </c>
      <c r="E786" t="inlineStr">
        <is>
          <t>TORSÅS</t>
        </is>
      </c>
      <c r="G786" t="n">
        <v>4.9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51610-2023</t>
        </is>
      </c>
      <c r="B787" s="1" t="n">
        <v>45222</v>
      </c>
      <c r="C787" s="1" t="n">
        <v>45692</v>
      </c>
      <c r="D787" t="inlineStr">
        <is>
          <t>KALMAR LÄN</t>
        </is>
      </c>
      <c r="E787" t="inlineStr">
        <is>
          <t>TORSÅS</t>
        </is>
      </c>
      <c r="G787" t="n">
        <v>6.3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51647-2023</t>
        </is>
      </c>
      <c r="B788" s="1" t="n">
        <v>45222</v>
      </c>
      <c r="C788" s="1" t="n">
        <v>45692</v>
      </c>
      <c r="D788" t="inlineStr">
        <is>
          <t>KALMAR LÄN</t>
        </is>
      </c>
      <c r="E788" t="inlineStr">
        <is>
          <t>TORSÅS</t>
        </is>
      </c>
      <c r="G788" t="n">
        <v>3.8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51781-2023</t>
        </is>
      </c>
      <c r="B789" s="1" t="n">
        <v>45222</v>
      </c>
      <c r="C789" s="1" t="n">
        <v>45692</v>
      </c>
      <c r="D789" t="inlineStr">
        <is>
          <t>KALMAR LÄN</t>
        </is>
      </c>
      <c r="E789" t="inlineStr">
        <is>
          <t>TORSÅS</t>
        </is>
      </c>
      <c r="G789" t="n">
        <v>1.2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51607-2023</t>
        </is>
      </c>
      <c r="B790" s="1" t="n">
        <v>45222</v>
      </c>
      <c r="C790" s="1" t="n">
        <v>45692</v>
      </c>
      <c r="D790" t="inlineStr">
        <is>
          <t>KALMAR LÄN</t>
        </is>
      </c>
      <c r="E790" t="inlineStr">
        <is>
          <t>TORSÅS</t>
        </is>
      </c>
      <c r="G790" t="n">
        <v>1.2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52072-2023</t>
        </is>
      </c>
      <c r="B791" s="1" t="n">
        <v>45223</v>
      </c>
      <c r="C791" s="1" t="n">
        <v>45692</v>
      </c>
      <c r="D791" t="inlineStr">
        <is>
          <t>KALMAR LÄN</t>
        </is>
      </c>
      <c r="E791" t="inlineStr">
        <is>
          <t>TORSÅS</t>
        </is>
      </c>
      <c r="G791" t="n">
        <v>2.2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52071-2023</t>
        </is>
      </c>
      <c r="B792" s="1" t="n">
        <v>45223</v>
      </c>
      <c r="C792" s="1" t="n">
        <v>45692</v>
      </c>
      <c r="D792" t="inlineStr">
        <is>
          <t>KALMAR LÄN</t>
        </is>
      </c>
      <c r="E792" t="inlineStr">
        <is>
          <t>TORSÅS</t>
        </is>
      </c>
      <c r="G792" t="n">
        <v>2.8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52252-2023</t>
        </is>
      </c>
      <c r="B793" s="1" t="n">
        <v>45224</v>
      </c>
      <c r="C793" s="1" t="n">
        <v>45692</v>
      </c>
      <c r="D793" t="inlineStr">
        <is>
          <t>KALMAR LÄN</t>
        </is>
      </c>
      <c r="E793" t="inlineStr">
        <is>
          <t>TORSÅS</t>
        </is>
      </c>
      <c r="G793" t="n">
        <v>1.2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52594-2023</t>
        </is>
      </c>
      <c r="B794" s="1" t="n">
        <v>45225</v>
      </c>
      <c r="C794" s="1" t="n">
        <v>45692</v>
      </c>
      <c r="D794" t="inlineStr">
        <is>
          <t>KALMAR LÄN</t>
        </is>
      </c>
      <c r="E794" t="inlineStr">
        <is>
          <t>TORSÅS</t>
        </is>
      </c>
      <c r="G794" t="n">
        <v>1.2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52598-2023</t>
        </is>
      </c>
      <c r="B795" s="1" t="n">
        <v>45225</v>
      </c>
      <c r="C795" s="1" t="n">
        <v>45692</v>
      </c>
      <c r="D795" t="inlineStr">
        <is>
          <t>KALMAR LÄN</t>
        </is>
      </c>
      <c r="E795" t="inlineStr">
        <is>
          <t>TORSÅS</t>
        </is>
      </c>
      <c r="G795" t="n">
        <v>0.8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52898-2023</t>
        </is>
      </c>
      <c r="B796" s="1" t="n">
        <v>45226</v>
      </c>
      <c r="C796" s="1" t="n">
        <v>45692</v>
      </c>
      <c r="D796" t="inlineStr">
        <is>
          <t>KALMAR LÄN</t>
        </is>
      </c>
      <c r="E796" t="inlineStr">
        <is>
          <t>TORSÅS</t>
        </is>
      </c>
      <c r="G796" t="n">
        <v>1.2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52937-2023</t>
        </is>
      </c>
      <c r="B797" s="1" t="n">
        <v>45226</v>
      </c>
      <c r="C797" s="1" t="n">
        <v>45692</v>
      </c>
      <c r="D797" t="inlineStr">
        <is>
          <t>KALMAR LÄN</t>
        </is>
      </c>
      <c r="E797" t="inlineStr">
        <is>
          <t>TORSÅS</t>
        </is>
      </c>
      <c r="G797" t="n">
        <v>0.6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54489-2023</t>
        </is>
      </c>
      <c r="B798" s="1" t="n">
        <v>45233</v>
      </c>
      <c r="C798" s="1" t="n">
        <v>45692</v>
      </c>
      <c r="D798" t="inlineStr">
        <is>
          <t>KALMAR LÄN</t>
        </is>
      </c>
      <c r="E798" t="inlineStr">
        <is>
          <t>TORSÅS</t>
        </is>
      </c>
      <c r="G798" t="n">
        <v>4.9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55967-2023</t>
        </is>
      </c>
      <c r="B799" s="1" t="n">
        <v>45240</v>
      </c>
      <c r="C799" s="1" t="n">
        <v>45692</v>
      </c>
      <c r="D799" t="inlineStr">
        <is>
          <t>KALMAR LÄN</t>
        </is>
      </c>
      <c r="E799" t="inlineStr">
        <is>
          <t>TORSÅS</t>
        </is>
      </c>
      <c r="G799" t="n">
        <v>1.2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56613-2023</t>
        </is>
      </c>
      <c r="B800" s="1" t="n">
        <v>45243</v>
      </c>
      <c r="C800" s="1" t="n">
        <v>45692</v>
      </c>
      <c r="D800" t="inlineStr">
        <is>
          <t>KALMAR LÄN</t>
        </is>
      </c>
      <c r="E800" t="inlineStr">
        <is>
          <t>TORSÅS</t>
        </is>
      </c>
      <c r="G800" t="n">
        <v>1.1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56366-2023</t>
        </is>
      </c>
      <c r="B801" s="1" t="n">
        <v>45243</v>
      </c>
      <c r="C801" s="1" t="n">
        <v>45692</v>
      </c>
      <c r="D801" t="inlineStr">
        <is>
          <t>KALMAR LÄN</t>
        </is>
      </c>
      <c r="E801" t="inlineStr">
        <is>
          <t>TORSÅS</t>
        </is>
      </c>
      <c r="G801" t="n">
        <v>0.5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58274-2023</t>
        </is>
      </c>
      <c r="B802" s="1" t="n">
        <v>45250</v>
      </c>
      <c r="C802" s="1" t="n">
        <v>45692</v>
      </c>
      <c r="D802" t="inlineStr">
        <is>
          <t>KALMAR LÄN</t>
        </is>
      </c>
      <c r="E802" t="inlineStr">
        <is>
          <t>TORSÅS</t>
        </is>
      </c>
      <c r="G802" t="n">
        <v>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58442-2023</t>
        </is>
      </c>
      <c r="B803" s="1" t="n">
        <v>45250</v>
      </c>
      <c r="C803" s="1" t="n">
        <v>45692</v>
      </c>
      <c r="D803" t="inlineStr">
        <is>
          <t>KALMAR LÄN</t>
        </is>
      </c>
      <c r="E803" t="inlineStr">
        <is>
          <t>TORSÅS</t>
        </is>
      </c>
      <c r="G803" t="n">
        <v>4.4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58441-2023</t>
        </is>
      </c>
      <c r="B804" s="1" t="n">
        <v>45250</v>
      </c>
      <c r="C804" s="1" t="n">
        <v>45692</v>
      </c>
      <c r="D804" t="inlineStr">
        <is>
          <t>KALMAR LÄN</t>
        </is>
      </c>
      <c r="E804" t="inlineStr">
        <is>
          <t>TORSÅS</t>
        </is>
      </c>
      <c r="G804" t="n">
        <v>0.6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58272-2023</t>
        </is>
      </c>
      <c r="B805" s="1" t="n">
        <v>45250</v>
      </c>
      <c r="C805" s="1" t="n">
        <v>45692</v>
      </c>
      <c r="D805" t="inlineStr">
        <is>
          <t>KALMAR LÄN</t>
        </is>
      </c>
      <c r="E805" t="inlineStr">
        <is>
          <t>TORSÅS</t>
        </is>
      </c>
      <c r="G805" t="n">
        <v>1.3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58346-2023</t>
        </is>
      </c>
      <c r="B806" s="1" t="n">
        <v>45250</v>
      </c>
      <c r="C806" s="1" t="n">
        <v>45692</v>
      </c>
      <c r="D806" t="inlineStr">
        <is>
          <t>KALMAR LÄN</t>
        </is>
      </c>
      <c r="E806" t="inlineStr">
        <is>
          <t>TORSÅS</t>
        </is>
      </c>
      <c r="G806" t="n">
        <v>1.4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58439-2023</t>
        </is>
      </c>
      <c r="B807" s="1" t="n">
        <v>45250</v>
      </c>
      <c r="C807" s="1" t="n">
        <v>45692</v>
      </c>
      <c r="D807" t="inlineStr">
        <is>
          <t>KALMAR LÄN</t>
        </is>
      </c>
      <c r="E807" t="inlineStr">
        <is>
          <t>TORSÅS</t>
        </is>
      </c>
      <c r="G807" t="n">
        <v>0.6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58443-2023</t>
        </is>
      </c>
      <c r="B808" s="1" t="n">
        <v>45250</v>
      </c>
      <c r="C808" s="1" t="n">
        <v>45692</v>
      </c>
      <c r="D808" t="inlineStr">
        <is>
          <t>KALMAR LÄN</t>
        </is>
      </c>
      <c r="E808" t="inlineStr">
        <is>
          <t>TORSÅS</t>
        </is>
      </c>
      <c r="G808" t="n">
        <v>7.8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58615-2023</t>
        </is>
      </c>
      <c r="B809" s="1" t="n">
        <v>45251</v>
      </c>
      <c r="C809" s="1" t="n">
        <v>45692</v>
      </c>
      <c r="D809" t="inlineStr">
        <is>
          <t>KALMAR LÄN</t>
        </is>
      </c>
      <c r="E809" t="inlineStr">
        <is>
          <t>TORSÅS</t>
        </is>
      </c>
      <c r="G809" t="n">
        <v>1.8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58810-2023</t>
        </is>
      </c>
      <c r="B810" s="1" t="n">
        <v>45252</v>
      </c>
      <c r="C810" s="1" t="n">
        <v>45692</v>
      </c>
      <c r="D810" t="inlineStr">
        <is>
          <t>KALMAR LÄN</t>
        </is>
      </c>
      <c r="E810" t="inlineStr">
        <is>
          <t>TORSÅS</t>
        </is>
      </c>
      <c r="G810" t="n">
        <v>0.7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58803-2023</t>
        </is>
      </c>
      <c r="B811" s="1" t="n">
        <v>45252</v>
      </c>
      <c r="C811" s="1" t="n">
        <v>45692</v>
      </c>
      <c r="D811" t="inlineStr">
        <is>
          <t>KALMAR LÄN</t>
        </is>
      </c>
      <c r="E811" t="inlineStr">
        <is>
          <t>TORSÅS</t>
        </is>
      </c>
      <c r="G811" t="n">
        <v>1.4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59050-2023</t>
        </is>
      </c>
      <c r="B812" s="1" t="n">
        <v>45252</v>
      </c>
      <c r="C812" s="1" t="n">
        <v>45692</v>
      </c>
      <c r="D812" t="inlineStr">
        <is>
          <t>KALMAR LÄN</t>
        </is>
      </c>
      <c r="E812" t="inlineStr">
        <is>
          <t>TORSÅS</t>
        </is>
      </c>
      <c r="G812" t="n">
        <v>4.3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59017-2023</t>
        </is>
      </c>
      <c r="B813" s="1" t="n">
        <v>45252</v>
      </c>
      <c r="C813" s="1" t="n">
        <v>45692</v>
      </c>
      <c r="D813" t="inlineStr">
        <is>
          <t>KALMAR LÄN</t>
        </is>
      </c>
      <c r="E813" t="inlineStr">
        <is>
          <t>TORSÅS</t>
        </is>
      </c>
      <c r="G813" t="n">
        <v>0.6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58804-2023</t>
        </is>
      </c>
      <c r="B814" s="1" t="n">
        <v>45252</v>
      </c>
      <c r="C814" s="1" t="n">
        <v>45692</v>
      </c>
      <c r="D814" t="inlineStr">
        <is>
          <t>KALMAR LÄN</t>
        </is>
      </c>
      <c r="E814" t="inlineStr">
        <is>
          <t>TORSÅS</t>
        </is>
      </c>
      <c r="G814" t="n">
        <v>0.5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59275-2023</t>
        </is>
      </c>
      <c r="B815" s="1" t="n">
        <v>45253</v>
      </c>
      <c r="C815" s="1" t="n">
        <v>45692</v>
      </c>
      <c r="D815" t="inlineStr">
        <is>
          <t>KALMAR LÄN</t>
        </is>
      </c>
      <c r="E815" t="inlineStr">
        <is>
          <t>TORSÅS</t>
        </is>
      </c>
      <c r="G815" t="n">
        <v>12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60493-2023</t>
        </is>
      </c>
      <c r="B816" s="1" t="n">
        <v>45259</v>
      </c>
      <c r="C816" s="1" t="n">
        <v>45692</v>
      </c>
      <c r="D816" t="inlineStr">
        <is>
          <t>KALMAR LÄN</t>
        </is>
      </c>
      <c r="E816" t="inlineStr">
        <is>
          <t>TORSÅS</t>
        </is>
      </c>
      <c r="G816" t="n">
        <v>0.6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60494-2023</t>
        </is>
      </c>
      <c r="B817" s="1" t="n">
        <v>45259</v>
      </c>
      <c r="C817" s="1" t="n">
        <v>45692</v>
      </c>
      <c r="D817" t="inlineStr">
        <is>
          <t>KALMAR LÄN</t>
        </is>
      </c>
      <c r="E817" t="inlineStr">
        <is>
          <t>TORSÅS</t>
        </is>
      </c>
      <c r="G817" t="n">
        <v>1.2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60505-2023</t>
        </is>
      </c>
      <c r="B818" s="1" t="n">
        <v>45259</v>
      </c>
      <c r="C818" s="1" t="n">
        <v>45692</v>
      </c>
      <c r="D818" t="inlineStr">
        <is>
          <t>KALMAR LÄN</t>
        </is>
      </c>
      <c r="E818" t="inlineStr">
        <is>
          <t>TORSÅS</t>
        </is>
      </c>
      <c r="G818" t="n">
        <v>1.7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60779-2023</t>
        </is>
      </c>
      <c r="B819" s="1" t="n">
        <v>45260</v>
      </c>
      <c r="C819" s="1" t="n">
        <v>45692</v>
      </c>
      <c r="D819" t="inlineStr">
        <is>
          <t>KALMAR LÄN</t>
        </is>
      </c>
      <c r="E819" t="inlineStr">
        <is>
          <t>TORSÅS</t>
        </is>
      </c>
      <c r="G819" t="n">
        <v>1.4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60743-2023</t>
        </is>
      </c>
      <c r="B820" s="1" t="n">
        <v>45260</v>
      </c>
      <c r="C820" s="1" t="n">
        <v>45692</v>
      </c>
      <c r="D820" t="inlineStr">
        <is>
          <t>KALMAR LÄN</t>
        </is>
      </c>
      <c r="E820" t="inlineStr">
        <is>
          <t>TORSÅS</t>
        </is>
      </c>
      <c r="G820" t="n">
        <v>0.5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60776-2023</t>
        </is>
      </c>
      <c r="B821" s="1" t="n">
        <v>45260</v>
      </c>
      <c r="C821" s="1" t="n">
        <v>45692</v>
      </c>
      <c r="D821" t="inlineStr">
        <is>
          <t>KALMAR LÄN</t>
        </is>
      </c>
      <c r="E821" t="inlineStr">
        <is>
          <t>TORSÅS</t>
        </is>
      </c>
      <c r="G821" t="n">
        <v>1.8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60742-2023</t>
        </is>
      </c>
      <c r="B822" s="1" t="n">
        <v>45260</v>
      </c>
      <c r="C822" s="1" t="n">
        <v>45692</v>
      </c>
      <c r="D822" t="inlineStr">
        <is>
          <t>KALMAR LÄN</t>
        </is>
      </c>
      <c r="E822" t="inlineStr">
        <is>
          <t>TORSÅS</t>
        </is>
      </c>
      <c r="G822" t="n">
        <v>1.1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61427-2023</t>
        </is>
      </c>
      <c r="B823" s="1" t="n">
        <v>45264</v>
      </c>
      <c r="C823" s="1" t="n">
        <v>45692</v>
      </c>
      <c r="D823" t="inlineStr">
        <is>
          <t>KALMAR LÄN</t>
        </is>
      </c>
      <c r="E823" t="inlineStr">
        <is>
          <t>TORSÅS</t>
        </is>
      </c>
      <c r="G823" t="n">
        <v>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61441-2023</t>
        </is>
      </c>
      <c r="B824" s="1" t="n">
        <v>45264</v>
      </c>
      <c r="C824" s="1" t="n">
        <v>45692</v>
      </c>
      <c r="D824" t="inlineStr">
        <is>
          <t>KALMAR LÄN</t>
        </is>
      </c>
      <c r="E824" t="inlineStr">
        <is>
          <t>TORSÅS</t>
        </is>
      </c>
      <c r="G824" t="n">
        <v>8.4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62661-2023</t>
        </is>
      </c>
      <c r="B825" s="1" t="n">
        <v>45271</v>
      </c>
      <c r="C825" s="1" t="n">
        <v>45692</v>
      </c>
      <c r="D825" t="inlineStr">
        <is>
          <t>KALMAR LÄN</t>
        </is>
      </c>
      <c r="E825" t="inlineStr">
        <is>
          <t>TORSÅS</t>
        </is>
      </c>
      <c r="G825" t="n">
        <v>1.1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62649-2023</t>
        </is>
      </c>
      <c r="B826" s="1" t="n">
        <v>45271</v>
      </c>
      <c r="C826" s="1" t="n">
        <v>45692</v>
      </c>
      <c r="D826" t="inlineStr">
        <is>
          <t>KALMAR LÄN</t>
        </is>
      </c>
      <c r="E826" t="inlineStr">
        <is>
          <t>TORSÅS</t>
        </is>
      </c>
      <c r="G826" t="n">
        <v>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62662-2023</t>
        </is>
      </c>
      <c r="B827" s="1" t="n">
        <v>45271</v>
      </c>
      <c r="C827" s="1" t="n">
        <v>45692</v>
      </c>
      <c r="D827" t="inlineStr">
        <is>
          <t>KALMAR LÄN</t>
        </is>
      </c>
      <c r="E827" t="inlineStr">
        <is>
          <t>TORSÅS</t>
        </is>
      </c>
      <c r="G827" t="n">
        <v>1.9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64373-2023</t>
        </is>
      </c>
      <c r="B828" s="1" t="n">
        <v>45280</v>
      </c>
      <c r="C828" s="1" t="n">
        <v>45692</v>
      </c>
      <c r="D828" t="inlineStr">
        <is>
          <t>KALMAR LÄN</t>
        </is>
      </c>
      <c r="E828" t="inlineStr">
        <is>
          <t>TORSÅS</t>
        </is>
      </c>
      <c r="G828" t="n">
        <v>19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65157-2023</t>
        </is>
      </c>
      <c r="B829" s="1" t="n">
        <v>45288</v>
      </c>
      <c r="C829" s="1" t="n">
        <v>45692</v>
      </c>
      <c r="D829" t="inlineStr">
        <is>
          <t>KALMAR LÄN</t>
        </is>
      </c>
      <c r="E829" t="inlineStr">
        <is>
          <t>TORSÅS</t>
        </is>
      </c>
      <c r="G829" t="n">
        <v>1.4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65156-2023</t>
        </is>
      </c>
      <c r="B830" s="1" t="n">
        <v>45288</v>
      </c>
      <c r="C830" s="1" t="n">
        <v>45692</v>
      </c>
      <c r="D830" t="inlineStr">
        <is>
          <t>KALMAR LÄN</t>
        </is>
      </c>
      <c r="E830" t="inlineStr">
        <is>
          <t>TORSÅS</t>
        </is>
      </c>
      <c r="G830" t="n">
        <v>3.7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65155-2023</t>
        </is>
      </c>
      <c r="B831" s="1" t="n">
        <v>45288</v>
      </c>
      <c r="C831" s="1" t="n">
        <v>45692</v>
      </c>
      <c r="D831" t="inlineStr">
        <is>
          <t>KALMAR LÄN</t>
        </is>
      </c>
      <c r="E831" t="inlineStr">
        <is>
          <t>TORSÅS</t>
        </is>
      </c>
      <c r="G831" t="n">
        <v>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65159-2023</t>
        </is>
      </c>
      <c r="B832" s="1" t="n">
        <v>45288</v>
      </c>
      <c r="C832" s="1" t="n">
        <v>45692</v>
      </c>
      <c r="D832" t="inlineStr">
        <is>
          <t>KALMAR LÄN</t>
        </is>
      </c>
      <c r="E832" t="inlineStr">
        <is>
          <t>TORSÅS</t>
        </is>
      </c>
      <c r="G832" t="n">
        <v>6.3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65258-2023</t>
        </is>
      </c>
      <c r="B833" s="1" t="n">
        <v>45290</v>
      </c>
      <c r="C833" s="1" t="n">
        <v>45692</v>
      </c>
      <c r="D833" t="inlineStr">
        <is>
          <t>KALMAR LÄN</t>
        </is>
      </c>
      <c r="E833" t="inlineStr">
        <is>
          <t>TORSÅS</t>
        </is>
      </c>
      <c r="G833" t="n">
        <v>1.5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532-2024</t>
        </is>
      </c>
      <c r="B834" s="1" t="n">
        <v>45299</v>
      </c>
      <c r="C834" s="1" t="n">
        <v>45692</v>
      </c>
      <c r="D834" t="inlineStr">
        <is>
          <t>KALMAR LÄN</t>
        </is>
      </c>
      <c r="E834" t="inlineStr">
        <is>
          <t>TORSÅS</t>
        </is>
      </c>
      <c r="G834" t="n">
        <v>1.4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2038-2024</t>
        </is>
      </c>
      <c r="B835" s="1" t="n">
        <v>45308</v>
      </c>
      <c r="C835" s="1" t="n">
        <v>45692</v>
      </c>
      <c r="D835" t="inlineStr">
        <is>
          <t>KALMAR LÄN</t>
        </is>
      </c>
      <c r="E835" t="inlineStr">
        <is>
          <t>TORSÅS</t>
        </is>
      </c>
      <c r="G835" t="n">
        <v>0.7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2035-2024</t>
        </is>
      </c>
      <c r="B836" s="1" t="n">
        <v>45308</v>
      </c>
      <c r="C836" s="1" t="n">
        <v>45692</v>
      </c>
      <c r="D836" t="inlineStr">
        <is>
          <t>KALMAR LÄN</t>
        </is>
      </c>
      <c r="E836" t="inlineStr">
        <is>
          <t>TORSÅS</t>
        </is>
      </c>
      <c r="G836" t="n">
        <v>1.6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2036-2024</t>
        </is>
      </c>
      <c r="B837" s="1" t="n">
        <v>45308</v>
      </c>
      <c r="C837" s="1" t="n">
        <v>45692</v>
      </c>
      <c r="D837" t="inlineStr">
        <is>
          <t>KALMAR LÄN</t>
        </is>
      </c>
      <c r="E837" t="inlineStr">
        <is>
          <t>TORSÅS</t>
        </is>
      </c>
      <c r="G837" t="n">
        <v>1.9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2150-2024</t>
        </is>
      </c>
      <c r="B838" s="1" t="n">
        <v>45309</v>
      </c>
      <c r="C838" s="1" t="n">
        <v>45692</v>
      </c>
      <c r="D838" t="inlineStr">
        <is>
          <t>KALMAR LÄN</t>
        </is>
      </c>
      <c r="E838" t="inlineStr">
        <is>
          <t>TORSÅS</t>
        </is>
      </c>
      <c r="G838" t="n">
        <v>3.8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2780-2024</t>
        </is>
      </c>
      <c r="B839" s="1" t="n">
        <v>45314</v>
      </c>
      <c r="C839" s="1" t="n">
        <v>45692</v>
      </c>
      <c r="D839" t="inlineStr">
        <is>
          <t>KALMAR LÄN</t>
        </is>
      </c>
      <c r="E839" t="inlineStr">
        <is>
          <t>TORSÅS</t>
        </is>
      </c>
      <c r="G839" t="n">
        <v>19.8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3001-2024</t>
        </is>
      </c>
      <c r="B840" s="1" t="n">
        <v>45315</v>
      </c>
      <c r="C840" s="1" t="n">
        <v>45692</v>
      </c>
      <c r="D840" t="inlineStr">
        <is>
          <t>KALMAR LÄN</t>
        </is>
      </c>
      <c r="E840" t="inlineStr">
        <is>
          <t>TORSÅS</t>
        </is>
      </c>
      <c r="G840" t="n">
        <v>0.8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3482-2024</t>
        </is>
      </c>
      <c r="B841" s="1" t="n">
        <v>45317</v>
      </c>
      <c r="C841" s="1" t="n">
        <v>45692</v>
      </c>
      <c r="D841" t="inlineStr">
        <is>
          <t>KALMAR LÄN</t>
        </is>
      </c>
      <c r="E841" t="inlineStr">
        <is>
          <t>TORSÅS</t>
        </is>
      </c>
      <c r="G841" t="n">
        <v>12.8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3978-2024</t>
        </is>
      </c>
      <c r="B842" s="1" t="n">
        <v>45322</v>
      </c>
      <c r="C842" s="1" t="n">
        <v>45692</v>
      </c>
      <c r="D842" t="inlineStr">
        <is>
          <t>KALMAR LÄN</t>
        </is>
      </c>
      <c r="E842" t="inlineStr">
        <is>
          <t>TORSÅS</t>
        </is>
      </c>
      <c r="G842" t="n">
        <v>0.7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4016-2024</t>
        </is>
      </c>
      <c r="B843" s="1" t="n">
        <v>45323</v>
      </c>
      <c r="C843" s="1" t="n">
        <v>45692</v>
      </c>
      <c r="D843" t="inlineStr">
        <is>
          <t>KALMAR LÄN</t>
        </is>
      </c>
      <c r="E843" t="inlineStr">
        <is>
          <t>TORSÅS</t>
        </is>
      </c>
      <c r="G843" t="n">
        <v>1.2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4270-2024</t>
        </is>
      </c>
      <c r="B844" s="1" t="n">
        <v>45324</v>
      </c>
      <c r="C844" s="1" t="n">
        <v>45692</v>
      </c>
      <c r="D844" t="inlineStr">
        <is>
          <t>KALMAR LÄN</t>
        </is>
      </c>
      <c r="E844" t="inlineStr">
        <is>
          <t>TORSÅS</t>
        </is>
      </c>
      <c r="G844" t="n">
        <v>3.1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4267-2024</t>
        </is>
      </c>
      <c r="B845" s="1" t="n">
        <v>45324</v>
      </c>
      <c r="C845" s="1" t="n">
        <v>45692</v>
      </c>
      <c r="D845" t="inlineStr">
        <is>
          <t>KALMAR LÄN</t>
        </is>
      </c>
      <c r="E845" t="inlineStr">
        <is>
          <t>TORSÅS</t>
        </is>
      </c>
      <c r="F845" t="inlineStr">
        <is>
          <t>Övriga Aktiebolag</t>
        </is>
      </c>
      <c r="G845" t="n">
        <v>3.2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4268-2024</t>
        </is>
      </c>
      <c r="B846" s="1" t="n">
        <v>45324</v>
      </c>
      <c r="C846" s="1" t="n">
        <v>45692</v>
      </c>
      <c r="D846" t="inlineStr">
        <is>
          <t>KALMAR LÄN</t>
        </is>
      </c>
      <c r="E846" t="inlineStr">
        <is>
          <t>TORSÅS</t>
        </is>
      </c>
      <c r="G846" t="n">
        <v>3.2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4447-2024</t>
        </is>
      </c>
      <c r="B847" s="1" t="n">
        <v>45327</v>
      </c>
      <c r="C847" s="1" t="n">
        <v>45692</v>
      </c>
      <c r="D847" t="inlineStr">
        <is>
          <t>KALMAR LÄN</t>
        </is>
      </c>
      <c r="E847" t="inlineStr">
        <is>
          <t>TORSÅS</t>
        </is>
      </c>
      <c r="G847" t="n">
        <v>0.9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4446-2024</t>
        </is>
      </c>
      <c r="B848" s="1" t="n">
        <v>45327</v>
      </c>
      <c r="C848" s="1" t="n">
        <v>45692</v>
      </c>
      <c r="D848" t="inlineStr">
        <is>
          <t>KALMAR LÄN</t>
        </is>
      </c>
      <c r="E848" t="inlineStr">
        <is>
          <t>TORSÅS</t>
        </is>
      </c>
      <c r="G848" t="n">
        <v>0.8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4729-2024</t>
        </is>
      </c>
      <c r="B849" s="1" t="n">
        <v>45328</v>
      </c>
      <c r="C849" s="1" t="n">
        <v>45692</v>
      </c>
      <c r="D849" t="inlineStr">
        <is>
          <t>KALMAR LÄN</t>
        </is>
      </c>
      <c r="E849" t="inlineStr">
        <is>
          <t>TORSÅS</t>
        </is>
      </c>
      <c r="G849" t="n">
        <v>4.7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4863-2024</t>
        </is>
      </c>
      <c r="B850" s="1" t="n">
        <v>45329</v>
      </c>
      <c r="C850" s="1" t="n">
        <v>45692</v>
      </c>
      <c r="D850" t="inlineStr">
        <is>
          <t>KALMAR LÄN</t>
        </is>
      </c>
      <c r="E850" t="inlineStr">
        <is>
          <t>TORSÅS</t>
        </is>
      </c>
      <c r="G850" t="n">
        <v>4.9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5107-2024</t>
        </is>
      </c>
      <c r="B851" s="1" t="n">
        <v>45330</v>
      </c>
      <c r="C851" s="1" t="n">
        <v>45692</v>
      </c>
      <c r="D851" t="inlineStr">
        <is>
          <t>KALMAR LÄN</t>
        </is>
      </c>
      <c r="E851" t="inlineStr">
        <is>
          <t>TORSÅS</t>
        </is>
      </c>
      <c r="G851" t="n">
        <v>3.1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5188-2024</t>
        </is>
      </c>
      <c r="B852" s="1" t="n">
        <v>45330</v>
      </c>
      <c r="C852" s="1" t="n">
        <v>45692</v>
      </c>
      <c r="D852" t="inlineStr">
        <is>
          <t>KALMAR LÄN</t>
        </is>
      </c>
      <c r="E852" t="inlineStr">
        <is>
          <t>TORSÅS</t>
        </is>
      </c>
      <c r="G852" t="n">
        <v>3.1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5104-2024</t>
        </is>
      </c>
      <c r="B853" s="1" t="n">
        <v>45330</v>
      </c>
      <c r="C853" s="1" t="n">
        <v>45692</v>
      </c>
      <c r="D853" t="inlineStr">
        <is>
          <t>KALMAR LÄN</t>
        </is>
      </c>
      <c r="E853" t="inlineStr">
        <is>
          <t>TORSÅS</t>
        </is>
      </c>
      <c r="G853" t="n">
        <v>1.5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5101-2024</t>
        </is>
      </c>
      <c r="B854" s="1" t="n">
        <v>45330</v>
      </c>
      <c r="C854" s="1" t="n">
        <v>45692</v>
      </c>
      <c r="D854" t="inlineStr">
        <is>
          <t>KALMAR LÄN</t>
        </is>
      </c>
      <c r="E854" t="inlineStr">
        <is>
          <t>TORSÅS</t>
        </is>
      </c>
      <c r="G854" t="n">
        <v>1.3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5182-2024</t>
        </is>
      </c>
      <c r="B855" s="1" t="n">
        <v>45330</v>
      </c>
      <c r="C855" s="1" t="n">
        <v>45692</v>
      </c>
      <c r="D855" t="inlineStr">
        <is>
          <t>KALMAR LÄN</t>
        </is>
      </c>
      <c r="E855" t="inlineStr">
        <is>
          <t>TORSÅS</t>
        </is>
      </c>
      <c r="G855" t="n">
        <v>8.800000000000001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5102-2024</t>
        </is>
      </c>
      <c r="B856" s="1" t="n">
        <v>45330</v>
      </c>
      <c r="C856" s="1" t="n">
        <v>45692</v>
      </c>
      <c r="D856" t="inlineStr">
        <is>
          <t>KALMAR LÄN</t>
        </is>
      </c>
      <c r="E856" t="inlineStr">
        <is>
          <t>TORSÅS</t>
        </is>
      </c>
      <c r="G856" t="n">
        <v>1.8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5106-2024</t>
        </is>
      </c>
      <c r="B857" s="1" t="n">
        <v>45330</v>
      </c>
      <c r="C857" s="1" t="n">
        <v>45692</v>
      </c>
      <c r="D857" t="inlineStr">
        <is>
          <t>KALMAR LÄN</t>
        </is>
      </c>
      <c r="E857" t="inlineStr">
        <is>
          <t>TORSÅS</t>
        </is>
      </c>
      <c r="G857" t="n">
        <v>3.2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5392-2024</t>
        </is>
      </c>
      <c r="B858" s="1" t="n">
        <v>45331</v>
      </c>
      <c r="C858" s="1" t="n">
        <v>45692</v>
      </c>
      <c r="D858" t="inlineStr">
        <is>
          <t>KALMAR LÄN</t>
        </is>
      </c>
      <c r="E858" t="inlineStr">
        <is>
          <t>TORSÅS</t>
        </is>
      </c>
      <c r="G858" t="n">
        <v>4.2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5513-2024</t>
        </is>
      </c>
      <c r="B859" s="1" t="n">
        <v>45334</v>
      </c>
      <c r="C859" s="1" t="n">
        <v>45692</v>
      </c>
      <c r="D859" t="inlineStr">
        <is>
          <t>KALMAR LÄN</t>
        </is>
      </c>
      <c r="E859" t="inlineStr">
        <is>
          <t>TORSÅS</t>
        </is>
      </c>
      <c r="G859" t="n">
        <v>1.8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5516-2024</t>
        </is>
      </c>
      <c r="B860" s="1" t="n">
        <v>45334</v>
      </c>
      <c r="C860" s="1" t="n">
        <v>45692</v>
      </c>
      <c r="D860" t="inlineStr">
        <is>
          <t>KALMAR LÄN</t>
        </is>
      </c>
      <c r="E860" t="inlineStr">
        <is>
          <t>TORSÅS</t>
        </is>
      </c>
      <c r="G860" t="n">
        <v>1.5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5842-2024</t>
        </is>
      </c>
      <c r="B861" s="1" t="n">
        <v>45335</v>
      </c>
      <c r="C861" s="1" t="n">
        <v>45692</v>
      </c>
      <c r="D861" t="inlineStr">
        <is>
          <t>KALMAR LÄN</t>
        </is>
      </c>
      <c r="E861" t="inlineStr">
        <is>
          <t>TORSÅS</t>
        </is>
      </c>
      <c r="G861" t="n">
        <v>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5845-2024</t>
        </is>
      </c>
      <c r="B862" s="1" t="n">
        <v>45335</v>
      </c>
      <c r="C862" s="1" t="n">
        <v>45692</v>
      </c>
      <c r="D862" t="inlineStr">
        <is>
          <t>KALMAR LÄN</t>
        </is>
      </c>
      <c r="E862" t="inlineStr">
        <is>
          <t>TORSÅS</t>
        </is>
      </c>
      <c r="G862" t="n">
        <v>0.8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5844-2024</t>
        </is>
      </c>
      <c r="B863" s="1" t="n">
        <v>45335</v>
      </c>
      <c r="C863" s="1" t="n">
        <v>45692</v>
      </c>
      <c r="D863" t="inlineStr">
        <is>
          <t>KALMAR LÄN</t>
        </is>
      </c>
      <c r="E863" t="inlineStr">
        <is>
          <t>TORSÅS</t>
        </is>
      </c>
      <c r="G863" t="n">
        <v>1.2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6296-2024</t>
        </is>
      </c>
      <c r="B864" s="1" t="n">
        <v>45338</v>
      </c>
      <c r="C864" s="1" t="n">
        <v>45692</v>
      </c>
      <c r="D864" t="inlineStr">
        <is>
          <t>KALMAR LÄN</t>
        </is>
      </c>
      <c r="E864" t="inlineStr">
        <is>
          <t>TORSÅS</t>
        </is>
      </c>
      <c r="G864" t="n">
        <v>2.3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6549-2024</t>
        </is>
      </c>
      <c r="B865" s="1" t="n">
        <v>45341</v>
      </c>
      <c r="C865" s="1" t="n">
        <v>45692</v>
      </c>
      <c r="D865" t="inlineStr">
        <is>
          <t>KALMAR LÄN</t>
        </is>
      </c>
      <c r="E865" t="inlineStr">
        <is>
          <t>TORSÅS</t>
        </is>
      </c>
      <c r="G865" t="n">
        <v>1.1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7059-2024</t>
        </is>
      </c>
      <c r="B866" s="1" t="n">
        <v>45343</v>
      </c>
      <c r="C866" s="1" t="n">
        <v>45692</v>
      </c>
      <c r="D866" t="inlineStr">
        <is>
          <t>KALMAR LÄN</t>
        </is>
      </c>
      <c r="E866" t="inlineStr">
        <is>
          <t>TORSÅS</t>
        </is>
      </c>
      <c r="G866" t="n">
        <v>0.8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7578-2024</t>
        </is>
      </c>
      <c r="B867" s="1" t="n">
        <v>45348</v>
      </c>
      <c r="C867" s="1" t="n">
        <v>45692</v>
      </c>
      <c r="D867" t="inlineStr">
        <is>
          <t>KALMAR LÄN</t>
        </is>
      </c>
      <c r="E867" t="inlineStr">
        <is>
          <t>TORSÅS</t>
        </is>
      </c>
      <c r="G867" t="n">
        <v>1.6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8002-2024</t>
        </is>
      </c>
      <c r="B868" s="1" t="n">
        <v>45350</v>
      </c>
      <c r="C868" s="1" t="n">
        <v>45692</v>
      </c>
      <c r="D868" t="inlineStr">
        <is>
          <t>KALMAR LÄN</t>
        </is>
      </c>
      <c r="E868" t="inlineStr">
        <is>
          <t>TORSÅS</t>
        </is>
      </c>
      <c r="G868" t="n">
        <v>0.9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7969-2024</t>
        </is>
      </c>
      <c r="B869" s="1" t="n">
        <v>45350</v>
      </c>
      <c r="C869" s="1" t="n">
        <v>45692</v>
      </c>
      <c r="D869" t="inlineStr">
        <is>
          <t>KALMAR LÄN</t>
        </is>
      </c>
      <c r="E869" t="inlineStr">
        <is>
          <t>TORSÅS</t>
        </is>
      </c>
      <c r="G869" t="n">
        <v>13.8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8406-2024</t>
        </is>
      </c>
      <c r="B870" s="1" t="n">
        <v>45352</v>
      </c>
      <c r="C870" s="1" t="n">
        <v>45692</v>
      </c>
      <c r="D870" t="inlineStr">
        <is>
          <t>KALMAR LÄN</t>
        </is>
      </c>
      <c r="E870" t="inlineStr">
        <is>
          <t>TORSÅS</t>
        </is>
      </c>
      <c r="G870" t="n">
        <v>4.1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8405-2024</t>
        </is>
      </c>
      <c r="B871" s="1" t="n">
        <v>45352</v>
      </c>
      <c r="C871" s="1" t="n">
        <v>45692</v>
      </c>
      <c r="D871" t="inlineStr">
        <is>
          <t>KALMAR LÄN</t>
        </is>
      </c>
      <c r="E871" t="inlineStr">
        <is>
          <t>TORSÅS</t>
        </is>
      </c>
      <c r="G871" t="n">
        <v>2.1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8539-2024</t>
        </is>
      </c>
      <c r="B872" s="1" t="n">
        <v>45355</v>
      </c>
      <c r="C872" s="1" t="n">
        <v>45692</v>
      </c>
      <c r="D872" t="inlineStr">
        <is>
          <t>KALMAR LÄN</t>
        </is>
      </c>
      <c r="E872" t="inlineStr">
        <is>
          <t>TORSÅS</t>
        </is>
      </c>
      <c r="G872" t="n">
        <v>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8791-2024</t>
        </is>
      </c>
      <c r="B873" s="1" t="n">
        <v>45356</v>
      </c>
      <c r="C873" s="1" t="n">
        <v>45692</v>
      </c>
      <c r="D873" t="inlineStr">
        <is>
          <t>KALMAR LÄN</t>
        </is>
      </c>
      <c r="E873" t="inlineStr">
        <is>
          <t>TORSÅS</t>
        </is>
      </c>
      <c r="G873" t="n">
        <v>3.8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9676-2024</t>
        </is>
      </c>
      <c r="B874" s="1" t="n">
        <v>45362</v>
      </c>
      <c r="C874" s="1" t="n">
        <v>45692</v>
      </c>
      <c r="D874" t="inlineStr">
        <is>
          <t>KALMAR LÄN</t>
        </is>
      </c>
      <c r="E874" t="inlineStr">
        <is>
          <t>TORSÅS</t>
        </is>
      </c>
      <c r="G874" t="n">
        <v>1.5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9683-2024</t>
        </is>
      </c>
      <c r="B875" s="1" t="n">
        <v>45362</v>
      </c>
      <c r="C875" s="1" t="n">
        <v>45692</v>
      </c>
      <c r="D875" t="inlineStr">
        <is>
          <t>KALMAR LÄN</t>
        </is>
      </c>
      <c r="E875" t="inlineStr">
        <is>
          <t>TORSÅS</t>
        </is>
      </c>
      <c r="G875" t="n">
        <v>3.6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10707-2024</t>
        </is>
      </c>
      <c r="B876" s="1" t="n">
        <v>45369</v>
      </c>
      <c r="C876" s="1" t="n">
        <v>45692</v>
      </c>
      <c r="D876" t="inlineStr">
        <is>
          <t>KALMAR LÄN</t>
        </is>
      </c>
      <c r="E876" t="inlineStr">
        <is>
          <t>TORSÅS</t>
        </is>
      </c>
      <c r="G876" t="n">
        <v>1.1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10704-2024</t>
        </is>
      </c>
      <c r="B877" s="1" t="n">
        <v>45369</v>
      </c>
      <c r="C877" s="1" t="n">
        <v>45692</v>
      </c>
      <c r="D877" t="inlineStr">
        <is>
          <t>KALMAR LÄN</t>
        </is>
      </c>
      <c r="E877" t="inlineStr">
        <is>
          <t>TORSÅS</t>
        </is>
      </c>
      <c r="G877" t="n">
        <v>0.5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10718-2024</t>
        </is>
      </c>
      <c r="B878" s="1" t="n">
        <v>45369</v>
      </c>
      <c r="C878" s="1" t="n">
        <v>45692</v>
      </c>
      <c r="D878" t="inlineStr">
        <is>
          <t>KALMAR LÄN</t>
        </is>
      </c>
      <c r="E878" t="inlineStr">
        <is>
          <t>TORSÅS</t>
        </is>
      </c>
      <c r="G878" t="n">
        <v>1.2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10926-2024</t>
        </is>
      </c>
      <c r="B879" s="1" t="n">
        <v>45370</v>
      </c>
      <c r="C879" s="1" t="n">
        <v>45692</v>
      </c>
      <c r="D879" t="inlineStr">
        <is>
          <t>KALMAR LÄN</t>
        </is>
      </c>
      <c r="E879" t="inlineStr">
        <is>
          <t>TORSÅS</t>
        </is>
      </c>
      <c r="G879" t="n">
        <v>4.6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11071-2024</t>
        </is>
      </c>
      <c r="B880" s="1" t="n">
        <v>45370</v>
      </c>
      <c r="C880" s="1" t="n">
        <v>45692</v>
      </c>
      <c r="D880" t="inlineStr">
        <is>
          <t>KALMAR LÄN</t>
        </is>
      </c>
      <c r="E880" t="inlineStr">
        <is>
          <t>TORSÅS</t>
        </is>
      </c>
      <c r="G880" t="n">
        <v>1.8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10988-2024</t>
        </is>
      </c>
      <c r="B881" s="1" t="n">
        <v>45370</v>
      </c>
      <c r="C881" s="1" t="n">
        <v>45692</v>
      </c>
      <c r="D881" t="inlineStr">
        <is>
          <t>KALMAR LÄN</t>
        </is>
      </c>
      <c r="E881" t="inlineStr">
        <is>
          <t>TORSÅS</t>
        </is>
      </c>
      <c r="G881" t="n">
        <v>3.6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11937-2024</t>
        </is>
      </c>
      <c r="B882" s="1" t="n">
        <v>45376</v>
      </c>
      <c r="C882" s="1" t="n">
        <v>45692</v>
      </c>
      <c r="D882" t="inlineStr">
        <is>
          <t>KALMAR LÄN</t>
        </is>
      </c>
      <c r="E882" t="inlineStr">
        <is>
          <t>TORSÅS</t>
        </is>
      </c>
      <c r="G882" t="n">
        <v>4.7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13506-2024</t>
        </is>
      </c>
      <c r="B883" s="1" t="n">
        <v>45387</v>
      </c>
      <c r="C883" s="1" t="n">
        <v>45692</v>
      </c>
      <c r="D883" t="inlineStr">
        <is>
          <t>KALMAR LÄN</t>
        </is>
      </c>
      <c r="E883" t="inlineStr">
        <is>
          <t>TORSÅS</t>
        </is>
      </c>
      <c r="G883" t="n">
        <v>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14297-2024</t>
        </is>
      </c>
      <c r="B884" s="1" t="n">
        <v>45393</v>
      </c>
      <c r="C884" s="1" t="n">
        <v>45692</v>
      </c>
      <c r="D884" t="inlineStr">
        <is>
          <t>KALMAR LÄN</t>
        </is>
      </c>
      <c r="E884" t="inlineStr">
        <is>
          <t>TORSÅS</t>
        </is>
      </c>
      <c r="G884" t="n">
        <v>0.7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15749-2024</t>
        </is>
      </c>
      <c r="B885" s="1" t="n">
        <v>45404</v>
      </c>
      <c r="C885" s="1" t="n">
        <v>45692</v>
      </c>
      <c r="D885" t="inlineStr">
        <is>
          <t>KALMAR LÄN</t>
        </is>
      </c>
      <c r="E885" t="inlineStr">
        <is>
          <t>TORSÅS</t>
        </is>
      </c>
      <c r="G885" t="n">
        <v>0.6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16263-2024</t>
        </is>
      </c>
      <c r="B886" s="1" t="n">
        <v>45407</v>
      </c>
      <c r="C886" s="1" t="n">
        <v>45692</v>
      </c>
      <c r="D886" t="inlineStr">
        <is>
          <t>KALMAR LÄN</t>
        </is>
      </c>
      <c r="E886" t="inlineStr">
        <is>
          <t>TORSÅS</t>
        </is>
      </c>
      <c r="G886" t="n">
        <v>0.7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16305-2024</t>
        </is>
      </c>
      <c r="B887" s="1" t="n">
        <v>45407</v>
      </c>
      <c r="C887" s="1" t="n">
        <v>45692</v>
      </c>
      <c r="D887" t="inlineStr">
        <is>
          <t>KALMAR LÄN</t>
        </is>
      </c>
      <c r="E887" t="inlineStr">
        <is>
          <t>TORSÅS</t>
        </is>
      </c>
      <c r="G887" t="n">
        <v>0.8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16498-2024</t>
        </is>
      </c>
      <c r="B888" s="1" t="n">
        <v>45408</v>
      </c>
      <c r="C888" s="1" t="n">
        <v>45692</v>
      </c>
      <c r="D888" t="inlineStr">
        <is>
          <t>KALMAR LÄN</t>
        </is>
      </c>
      <c r="E888" t="inlineStr">
        <is>
          <t>TORSÅS</t>
        </is>
      </c>
      <c r="G888" t="n">
        <v>0.8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17239-2024</t>
        </is>
      </c>
      <c r="B889" s="1" t="n">
        <v>45414</v>
      </c>
      <c r="C889" s="1" t="n">
        <v>45692</v>
      </c>
      <c r="D889" t="inlineStr">
        <is>
          <t>KALMAR LÄN</t>
        </is>
      </c>
      <c r="E889" t="inlineStr">
        <is>
          <t>TORSÅS</t>
        </is>
      </c>
      <c r="G889" t="n">
        <v>0.7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17906-2024</t>
        </is>
      </c>
      <c r="B890" s="1" t="n">
        <v>45419</v>
      </c>
      <c r="C890" s="1" t="n">
        <v>45692</v>
      </c>
      <c r="D890" t="inlineStr">
        <is>
          <t>KALMAR LÄN</t>
        </is>
      </c>
      <c r="E890" t="inlineStr">
        <is>
          <t>TORSÅS</t>
        </is>
      </c>
      <c r="G890" t="n">
        <v>0.7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18350-2024</t>
        </is>
      </c>
      <c r="B891" s="1" t="n">
        <v>45422</v>
      </c>
      <c r="C891" s="1" t="n">
        <v>45692</v>
      </c>
      <c r="D891" t="inlineStr">
        <is>
          <t>KALMAR LÄN</t>
        </is>
      </c>
      <c r="E891" t="inlineStr">
        <is>
          <t>TORSÅS</t>
        </is>
      </c>
      <c r="G891" t="n">
        <v>3.6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18425-2024</t>
        </is>
      </c>
      <c r="B892" s="1" t="n">
        <v>45425</v>
      </c>
      <c r="C892" s="1" t="n">
        <v>45692</v>
      </c>
      <c r="D892" t="inlineStr">
        <is>
          <t>KALMAR LÄN</t>
        </is>
      </c>
      <c r="E892" t="inlineStr">
        <is>
          <t>TORSÅS</t>
        </is>
      </c>
      <c r="G892" t="n">
        <v>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18437-2024</t>
        </is>
      </c>
      <c r="B893" s="1" t="n">
        <v>45425</v>
      </c>
      <c r="C893" s="1" t="n">
        <v>45692</v>
      </c>
      <c r="D893" t="inlineStr">
        <is>
          <t>KALMAR LÄN</t>
        </is>
      </c>
      <c r="E893" t="inlineStr">
        <is>
          <t>TORSÅS</t>
        </is>
      </c>
      <c r="G893" t="n">
        <v>2.1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18689-2024</t>
        </is>
      </c>
      <c r="B894" s="1" t="n">
        <v>45426</v>
      </c>
      <c r="C894" s="1" t="n">
        <v>45692</v>
      </c>
      <c r="D894" t="inlineStr">
        <is>
          <t>KALMAR LÄN</t>
        </is>
      </c>
      <c r="E894" t="inlineStr">
        <is>
          <t>TORSÅS</t>
        </is>
      </c>
      <c r="G894" t="n">
        <v>4.1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18694-2024</t>
        </is>
      </c>
      <c r="B895" s="1" t="n">
        <v>45426</v>
      </c>
      <c r="C895" s="1" t="n">
        <v>45692</v>
      </c>
      <c r="D895" t="inlineStr">
        <is>
          <t>KALMAR LÄN</t>
        </is>
      </c>
      <c r="E895" t="inlineStr">
        <is>
          <t>TORSÅS</t>
        </is>
      </c>
      <c r="G895" t="n">
        <v>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18718-2024</t>
        </is>
      </c>
      <c r="B896" s="1" t="n">
        <v>45426</v>
      </c>
      <c r="C896" s="1" t="n">
        <v>45692</v>
      </c>
      <c r="D896" t="inlineStr">
        <is>
          <t>KALMAR LÄN</t>
        </is>
      </c>
      <c r="E896" t="inlineStr">
        <is>
          <t>TORSÅS</t>
        </is>
      </c>
      <c r="G896" t="n">
        <v>2.1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18714-2024</t>
        </is>
      </c>
      <c r="B897" s="1" t="n">
        <v>45426</v>
      </c>
      <c r="C897" s="1" t="n">
        <v>45692</v>
      </c>
      <c r="D897" t="inlineStr">
        <is>
          <t>KALMAR LÄN</t>
        </is>
      </c>
      <c r="E897" t="inlineStr">
        <is>
          <t>TORSÅS</t>
        </is>
      </c>
      <c r="G897" t="n">
        <v>3.8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19875-2024</t>
        </is>
      </c>
      <c r="B898" s="1" t="n">
        <v>45433</v>
      </c>
      <c r="C898" s="1" t="n">
        <v>45692</v>
      </c>
      <c r="D898" t="inlineStr">
        <is>
          <t>KALMAR LÄN</t>
        </is>
      </c>
      <c r="E898" t="inlineStr">
        <is>
          <t>TORSÅS</t>
        </is>
      </c>
      <c r="G898" t="n">
        <v>1.8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19879-2024</t>
        </is>
      </c>
      <c r="B899" s="1" t="n">
        <v>45433</v>
      </c>
      <c r="C899" s="1" t="n">
        <v>45692</v>
      </c>
      <c r="D899" t="inlineStr">
        <is>
          <t>KALMAR LÄN</t>
        </is>
      </c>
      <c r="E899" t="inlineStr">
        <is>
          <t>TORSÅS</t>
        </is>
      </c>
      <c r="G899" t="n">
        <v>2.7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21307-2024</t>
        </is>
      </c>
      <c r="B900" s="1" t="n">
        <v>45440</v>
      </c>
      <c r="C900" s="1" t="n">
        <v>45692</v>
      </c>
      <c r="D900" t="inlineStr">
        <is>
          <t>KALMAR LÄN</t>
        </is>
      </c>
      <c r="E900" t="inlineStr">
        <is>
          <t>TORSÅS</t>
        </is>
      </c>
      <c r="G900" t="n">
        <v>0.6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21305-2024</t>
        </is>
      </c>
      <c r="B901" s="1" t="n">
        <v>45440</v>
      </c>
      <c r="C901" s="1" t="n">
        <v>45692</v>
      </c>
      <c r="D901" t="inlineStr">
        <is>
          <t>KALMAR LÄN</t>
        </is>
      </c>
      <c r="E901" t="inlineStr">
        <is>
          <t>TORSÅS</t>
        </is>
      </c>
      <c r="G901" t="n">
        <v>2.5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22568-2024</t>
        </is>
      </c>
      <c r="B902" s="1" t="n">
        <v>45447</v>
      </c>
      <c r="C902" s="1" t="n">
        <v>45692</v>
      </c>
      <c r="D902" t="inlineStr">
        <is>
          <t>KALMAR LÄN</t>
        </is>
      </c>
      <c r="E902" t="inlineStr">
        <is>
          <t>TORSÅS</t>
        </is>
      </c>
      <c r="G902" t="n">
        <v>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22564-2024</t>
        </is>
      </c>
      <c r="B903" s="1" t="n">
        <v>45447</v>
      </c>
      <c r="C903" s="1" t="n">
        <v>45692</v>
      </c>
      <c r="D903" t="inlineStr">
        <is>
          <t>KALMAR LÄN</t>
        </is>
      </c>
      <c r="E903" t="inlineStr">
        <is>
          <t>TORSÅS</t>
        </is>
      </c>
      <c r="G903" t="n">
        <v>0.5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22566-2024</t>
        </is>
      </c>
      <c r="B904" s="1" t="n">
        <v>45447</v>
      </c>
      <c r="C904" s="1" t="n">
        <v>45692</v>
      </c>
      <c r="D904" t="inlineStr">
        <is>
          <t>KALMAR LÄN</t>
        </is>
      </c>
      <c r="E904" t="inlineStr">
        <is>
          <t>TORSÅS</t>
        </is>
      </c>
      <c r="G904" t="n">
        <v>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23261-2024</t>
        </is>
      </c>
      <c r="B905" s="1" t="n">
        <v>45453</v>
      </c>
      <c r="C905" s="1" t="n">
        <v>45692</v>
      </c>
      <c r="D905" t="inlineStr">
        <is>
          <t>KALMAR LÄN</t>
        </is>
      </c>
      <c r="E905" t="inlineStr">
        <is>
          <t>TORSÅS</t>
        </is>
      </c>
      <c r="G905" t="n">
        <v>1.6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23256-2024</t>
        </is>
      </c>
      <c r="B906" s="1" t="n">
        <v>45453</v>
      </c>
      <c r="C906" s="1" t="n">
        <v>45692</v>
      </c>
      <c r="D906" t="inlineStr">
        <is>
          <t>KALMAR LÄN</t>
        </is>
      </c>
      <c r="E906" t="inlineStr">
        <is>
          <t>TORSÅS</t>
        </is>
      </c>
      <c r="G906" t="n">
        <v>5.9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23990-2024</t>
        </is>
      </c>
      <c r="B907" s="1" t="n">
        <v>45456</v>
      </c>
      <c r="C907" s="1" t="n">
        <v>45692</v>
      </c>
      <c r="D907" t="inlineStr">
        <is>
          <t>KALMAR LÄN</t>
        </is>
      </c>
      <c r="E907" t="inlineStr">
        <is>
          <t>TORSÅS</t>
        </is>
      </c>
      <c r="G907" t="n">
        <v>1.2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27241-2024</t>
        </is>
      </c>
      <c r="B908" s="1" t="n">
        <v>45471</v>
      </c>
      <c r="C908" s="1" t="n">
        <v>45692</v>
      </c>
      <c r="D908" t="inlineStr">
        <is>
          <t>KALMAR LÄN</t>
        </is>
      </c>
      <c r="E908" t="inlineStr">
        <is>
          <t>TORSÅS</t>
        </is>
      </c>
      <c r="G908" t="n">
        <v>0.8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27239-2024</t>
        </is>
      </c>
      <c r="B909" s="1" t="n">
        <v>45471</v>
      </c>
      <c r="C909" s="1" t="n">
        <v>45692</v>
      </c>
      <c r="D909" t="inlineStr">
        <is>
          <t>KALMAR LÄN</t>
        </is>
      </c>
      <c r="E909" t="inlineStr">
        <is>
          <t>TORSÅS</t>
        </is>
      </c>
      <c r="G909" t="n">
        <v>1.7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27504-2024</t>
        </is>
      </c>
      <c r="B910" s="1" t="n">
        <v>45474</v>
      </c>
      <c r="C910" s="1" t="n">
        <v>45692</v>
      </c>
      <c r="D910" t="inlineStr">
        <is>
          <t>KALMAR LÄN</t>
        </is>
      </c>
      <c r="E910" t="inlineStr">
        <is>
          <t>TORSÅS</t>
        </is>
      </c>
      <c r="G910" t="n">
        <v>3.5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27507-2024</t>
        </is>
      </c>
      <c r="B911" s="1" t="n">
        <v>45474</v>
      </c>
      <c r="C911" s="1" t="n">
        <v>45692</v>
      </c>
      <c r="D911" t="inlineStr">
        <is>
          <t>KALMAR LÄN</t>
        </is>
      </c>
      <c r="E911" t="inlineStr">
        <is>
          <t>TORSÅS</t>
        </is>
      </c>
      <c r="G911" t="n">
        <v>1.3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27511-2024</t>
        </is>
      </c>
      <c r="B912" s="1" t="n">
        <v>45474</v>
      </c>
      <c r="C912" s="1" t="n">
        <v>45692</v>
      </c>
      <c r="D912" t="inlineStr">
        <is>
          <t>KALMAR LÄN</t>
        </is>
      </c>
      <c r="E912" t="inlineStr">
        <is>
          <t>TORSÅS</t>
        </is>
      </c>
      <c r="G912" t="n">
        <v>1.3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27546-2024</t>
        </is>
      </c>
      <c r="B913" s="1" t="n">
        <v>45474</v>
      </c>
      <c r="C913" s="1" t="n">
        <v>45692</v>
      </c>
      <c r="D913" t="inlineStr">
        <is>
          <t>KALMAR LÄN</t>
        </is>
      </c>
      <c r="E913" t="inlineStr">
        <is>
          <t>TORSÅS</t>
        </is>
      </c>
      <c r="G913" t="n">
        <v>3.6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29126-2024</t>
        </is>
      </c>
      <c r="B914" s="1" t="n">
        <v>45482</v>
      </c>
      <c r="C914" s="1" t="n">
        <v>45692</v>
      </c>
      <c r="D914" t="inlineStr">
        <is>
          <t>KALMAR LÄN</t>
        </is>
      </c>
      <c r="E914" t="inlineStr">
        <is>
          <t>TORSÅS</t>
        </is>
      </c>
      <c r="G914" t="n">
        <v>2.9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29933-2024</t>
        </is>
      </c>
      <c r="B915" s="1" t="n">
        <v>45488</v>
      </c>
      <c r="C915" s="1" t="n">
        <v>45692</v>
      </c>
      <c r="D915" t="inlineStr">
        <is>
          <t>KALMAR LÄN</t>
        </is>
      </c>
      <c r="E915" t="inlineStr">
        <is>
          <t>TORSÅS</t>
        </is>
      </c>
      <c r="G915" t="n">
        <v>1.1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31102-2024</t>
        </is>
      </c>
      <c r="B916" s="1" t="n">
        <v>45502</v>
      </c>
      <c r="C916" s="1" t="n">
        <v>45692</v>
      </c>
      <c r="D916" t="inlineStr">
        <is>
          <t>KALMAR LÄN</t>
        </is>
      </c>
      <c r="E916" t="inlineStr">
        <is>
          <t>TORSÅS</t>
        </is>
      </c>
      <c r="G916" t="n">
        <v>1.5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32321-2024</t>
        </is>
      </c>
      <c r="B917" s="1" t="n">
        <v>45512</v>
      </c>
      <c r="C917" s="1" t="n">
        <v>45692</v>
      </c>
      <c r="D917" t="inlineStr">
        <is>
          <t>KALMAR LÄN</t>
        </is>
      </c>
      <c r="E917" t="inlineStr">
        <is>
          <t>TORSÅS</t>
        </is>
      </c>
      <c r="G917" t="n">
        <v>0.9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32310-2024</t>
        </is>
      </c>
      <c r="B918" s="1" t="n">
        <v>45512</v>
      </c>
      <c r="C918" s="1" t="n">
        <v>45692</v>
      </c>
      <c r="D918" t="inlineStr">
        <is>
          <t>KALMAR LÄN</t>
        </is>
      </c>
      <c r="E918" t="inlineStr">
        <is>
          <t>TORSÅS</t>
        </is>
      </c>
      <c r="G918" t="n">
        <v>3.7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32320-2024</t>
        </is>
      </c>
      <c r="B919" s="1" t="n">
        <v>45512</v>
      </c>
      <c r="C919" s="1" t="n">
        <v>45692</v>
      </c>
      <c r="D919" t="inlineStr">
        <is>
          <t>KALMAR LÄN</t>
        </is>
      </c>
      <c r="E919" t="inlineStr">
        <is>
          <t>TORSÅS</t>
        </is>
      </c>
      <c r="G919" t="n">
        <v>1.2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32315-2024</t>
        </is>
      </c>
      <c r="B920" s="1" t="n">
        <v>45512</v>
      </c>
      <c r="C920" s="1" t="n">
        <v>45692</v>
      </c>
      <c r="D920" t="inlineStr">
        <is>
          <t>KALMAR LÄN</t>
        </is>
      </c>
      <c r="E920" t="inlineStr">
        <is>
          <t>TORSÅS</t>
        </is>
      </c>
      <c r="G920" t="n">
        <v>0.9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32525-2024</t>
        </is>
      </c>
      <c r="B921" s="1" t="n">
        <v>45513</v>
      </c>
      <c r="C921" s="1" t="n">
        <v>45692</v>
      </c>
      <c r="D921" t="inlineStr">
        <is>
          <t>KALMAR LÄN</t>
        </is>
      </c>
      <c r="E921" t="inlineStr">
        <is>
          <t>TORSÅS</t>
        </is>
      </c>
      <c r="G921" t="n">
        <v>4.9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32532-2024</t>
        </is>
      </c>
      <c r="B922" s="1" t="n">
        <v>45513</v>
      </c>
      <c r="C922" s="1" t="n">
        <v>45692</v>
      </c>
      <c r="D922" t="inlineStr">
        <is>
          <t>KALMAR LÄN</t>
        </is>
      </c>
      <c r="E922" t="inlineStr">
        <is>
          <t>TORSÅS</t>
        </is>
      </c>
      <c r="G922" t="n">
        <v>0.7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33148-2024</t>
        </is>
      </c>
      <c r="B923" s="1" t="n">
        <v>45518</v>
      </c>
      <c r="C923" s="1" t="n">
        <v>45692</v>
      </c>
      <c r="D923" t="inlineStr">
        <is>
          <t>KALMAR LÄN</t>
        </is>
      </c>
      <c r="E923" t="inlineStr">
        <is>
          <t>TORSÅS</t>
        </is>
      </c>
      <c r="G923" t="n">
        <v>3.9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33144-2024</t>
        </is>
      </c>
      <c r="B924" s="1" t="n">
        <v>45518</v>
      </c>
      <c r="C924" s="1" t="n">
        <v>45692</v>
      </c>
      <c r="D924" t="inlineStr">
        <is>
          <t>KALMAR LÄN</t>
        </is>
      </c>
      <c r="E924" t="inlineStr">
        <is>
          <t>TORSÅS</t>
        </is>
      </c>
      <c r="G924" t="n">
        <v>2.6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33655-2024</t>
        </is>
      </c>
      <c r="B925" s="1" t="n">
        <v>45520</v>
      </c>
      <c r="C925" s="1" t="n">
        <v>45692</v>
      </c>
      <c r="D925" t="inlineStr">
        <is>
          <t>KALMAR LÄN</t>
        </is>
      </c>
      <c r="E925" t="inlineStr">
        <is>
          <t>TORSÅS</t>
        </is>
      </c>
      <c r="G925" t="n">
        <v>2.3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34962-2024</t>
        </is>
      </c>
      <c r="B926" s="1" t="n">
        <v>45527</v>
      </c>
      <c r="C926" s="1" t="n">
        <v>45692</v>
      </c>
      <c r="D926" t="inlineStr">
        <is>
          <t>KALMAR LÄN</t>
        </is>
      </c>
      <c r="E926" t="inlineStr">
        <is>
          <t>TORSÅS</t>
        </is>
      </c>
      <c r="G926" t="n">
        <v>1.4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34956-2024</t>
        </is>
      </c>
      <c r="B927" s="1" t="n">
        <v>45527</v>
      </c>
      <c r="C927" s="1" t="n">
        <v>45692</v>
      </c>
      <c r="D927" t="inlineStr">
        <is>
          <t>KALMAR LÄN</t>
        </is>
      </c>
      <c r="E927" t="inlineStr">
        <is>
          <t>TORSÅS</t>
        </is>
      </c>
      <c r="G927" t="n">
        <v>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34960-2024</t>
        </is>
      </c>
      <c r="B928" s="1" t="n">
        <v>45527</v>
      </c>
      <c r="C928" s="1" t="n">
        <v>45692</v>
      </c>
      <c r="D928" t="inlineStr">
        <is>
          <t>KALMAR LÄN</t>
        </is>
      </c>
      <c r="E928" t="inlineStr">
        <is>
          <t>TORSÅS</t>
        </is>
      </c>
      <c r="G928" t="n">
        <v>0.6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35329-2024</t>
        </is>
      </c>
      <c r="B929" s="1" t="n">
        <v>45530</v>
      </c>
      <c r="C929" s="1" t="n">
        <v>45692</v>
      </c>
      <c r="D929" t="inlineStr">
        <is>
          <t>KALMAR LÄN</t>
        </is>
      </c>
      <c r="E929" t="inlineStr">
        <is>
          <t>TORSÅS</t>
        </is>
      </c>
      <c r="G929" t="n">
        <v>0.5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35708-2024</t>
        </is>
      </c>
      <c r="B930" s="1" t="n">
        <v>45532</v>
      </c>
      <c r="C930" s="1" t="n">
        <v>45692</v>
      </c>
      <c r="D930" t="inlineStr">
        <is>
          <t>KALMAR LÄN</t>
        </is>
      </c>
      <c r="E930" t="inlineStr">
        <is>
          <t>TORSÅS</t>
        </is>
      </c>
      <c r="G930" t="n">
        <v>0.8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38454-2024</t>
        </is>
      </c>
      <c r="B931" s="1" t="n">
        <v>45546</v>
      </c>
      <c r="C931" s="1" t="n">
        <v>45692</v>
      </c>
      <c r="D931" t="inlineStr">
        <is>
          <t>KALMAR LÄN</t>
        </is>
      </c>
      <c r="E931" t="inlineStr">
        <is>
          <t>TORSÅS</t>
        </is>
      </c>
      <c r="G931" t="n">
        <v>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38435-2024</t>
        </is>
      </c>
      <c r="B932" s="1" t="n">
        <v>45546</v>
      </c>
      <c r="C932" s="1" t="n">
        <v>45692</v>
      </c>
      <c r="D932" t="inlineStr">
        <is>
          <t>KALMAR LÄN</t>
        </is>
      </c>
      <c r="E932" t="inlineStr">
        <is>
          <t>TORSÅS</t>
        </is>
      </c>
      <c r="G932" t="n">
        <v>4.9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39299-2024</t>
        </is>
      </c>
      <c r="B933" s="1" t="n">
        <v>45551</v>
      </c>
      <c r="C933" s="1" t="n">
        <v>45692</v>
      </c>
      <c r="D933" t="inlineStr">
        <is>
          <t>KALMAR LÄN</t>
        </is>
      </c>
      <c r="E933" t="inlineStr">
        <is>
          <t>TORSÅS</t>
        </is>
      </c>
      <c r="G933" t="n">
        <v>0.7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39306-2024</t>
        </is>
      </c>
      <c r="B934" s="1" t="n">
        <v>45551</v>
      </c>
      <c r="C934" s="1" t="n">
        <v>45692</v>
      </c>
      <c r="D934" t="inlineStr">
        <is>
          <t>KALMAR LÄN</t>
        </is>
      </c>
      <c r="E934" t="inlineStr">
        <is>
          <t>TORSÅS</t>
        </is>
      </c>
      <c r="G934" t="n">
        <v>2.3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39728-2024</t>
        </is>
      </c>
      <c r="B935" s="1" t="n">
        <v>45552</v>
      </c>
      <c r="C935" s="1" t="n">
        <v>45692</v>
      </c>
      <c r="D935" t="inlineStr">
        <is>
          <t>KALMAR LÄN</t>
        </is>
      </c>
      <c r="E935" t="inlineStr">
        <is>
          <t>TORSÅS</t>
        </is>
      </c>
      <c r="G935" t="n">
        <v>1.6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39726-2024</t>
        </is>
      </c>
      <c r="B936" s="1" t="n">
        <v>45552</v>
      </c>
      <c r="C936" s="1" t="n">
        <v>45692</v>
      </c>
      <c r="D936" t="inlineStr">
        <is>
          <t>KALMAR LÄN</t>
        </is>
      </c>
      <c r="E936" t="inlineStr">
        <is>
          <t>TORSÅS</t>
        </is>
      </c>
      <c r="G936" t="n">
        <v>1.9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40744-2024</t>
        </is>
      </c>
      <c r="B937" s="1" t="n">
        <v>45558</v>
      </c>
      <c r="C937" s="1" t="n">
        <v>45692</v>
      </c>
      <c r="D937" t="inlineStr">
        <is>
          <t>KALMAR LÄN</t>
        </is>
      </c>
      <c r="E937" t="inlineStr">
        <is>
          <t>TORSÅS</t>
        </is>
      </c>
      <c r="G937" t="n">
        <v>2.5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43066-2024</t>
        </is>
      </c>
      <c r="B938" s="1" t="n">
        <v>45567</v>
      </c>
      <c r="C938" s="1" t="n">
        <v>45692</v>
      </c>
      <c r="D938" t="inlineStr">
        <is>
          <t>KALMAR LÄN</t>
        </is>
      </c>
      <c r="E938" t="inlineStr">
        <is>
          <t>TORSÅS</t>
        </is>
      </c>
      <c r="G938" t="n">
        <v>4.6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43064-2024</t>
        </is>
      </c>
      <c r="B939" s="1" t="n">
        <v>45567</v>
      </c>
      <c r="C939" s="1" t="n">
        <v>45692</v>
      </c>
      <c r="D939" t="inlineStr">
        <is>
          <t>KALMAR LÄN</t>
        </is>
      </c>
      <c r="E939" t="inlineStr">
        <is>
          <t>TORSÅS</t>
        </is>
      </c>
      <c r="G939" t="n">
        <v>0.7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43551-2024</t>
        </is>
      </c>
      <c r="B940" s="1" t="n">
        <v>45569</v>
      </c>
      <c r="C940" s="1" t="n">
        <v>45692</v>
      </c>
      <c r="D940" t="inlineStr">
        <is>
          <t>KALMAR LÄN</t>
        </is>
      </c>
      <c r="E940" t="inlineStr">
        <is>
          <t>TORSÅS</t>
        </is>
      </c>
      <c r="G940" t="n">
        <v>1.2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44414-2024</t>
        </is>
      </c>
      <c r="B941" s="1" t="n">
        <v>45573</v>
      </c>
      <c r="C941" s="1" t="n">
        <v>45692</v>
      </c>
      <c r="D941" t="inlineStr">
        <is>
          <t>KALMAR LÄN</t>
        </is>
      </c>
      <c r="E941" t="inlineStr">
        <is>
          <t>TORSÅS</t>
        </is>
      </c>
      <c r="G941" t="n">
        <v>0.6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44226-2024</t>
        </is>
      </c>
      <c r="B942" s="1" t="n">
        <v>45573</v>
      </c>
      <c r="C942" s="1" t="n">
        <v>45692</v>
      </c>
      <c r="D942" t="inlineStr">
        <is>
          <t>KALMAR LÄN</t>
        </is>
      </c>
      <c r="E942" t="inlineStr">
        <is>
          <t>TORSÅS</t>
        </is>
      </c>
      <c r="F942" t="inlineStr">
        <is>
          <t>Kommuner</t>
        </is>
      </c>
      <c r="G942" t="n">
        <v>2.6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44220-2024</t>
        </is>
      </c>
      <c r="B943" s="1" t="n">
        <v>45573</v>
      </c>
      <c r="C943" s="1" t="n">
        <v>45692</v>
      </c>
      <c r="D943" t="inlineStr">
        <is>
          <t>KALMAR LÄN</t>
        </is>
      </c>
      <c r="E943" t="inlineStr">
        <is>
          <t>TORSÅS</t>
        </is>
      </c>
      <c r="G943" t="n">
        <v>0.7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45815-2024</t>
        </is>
      </c>
      <c r="B944" s="1" t="n">
        <v>45579</v>
      </c>
      <c r="C944" s="1" t="n">
        <v>45692</v>
      </c>
      <c r="D944" t="inlineStr">
        <is>
          <t>KALMAR LÄN</t>
        </is>
      </c>
      <c r="E944" t="inlineStr">
        <is>
          <t>TORSÅS</t>
        </is>
      </c>
      <c r="G944" t="n">
        <v>2.1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46626-2024</t>
        </is>
      </c>
      <c r="B945" s="1" t="n">
        <v>45583</v>
      </c>
      <c r="C945" s="1" t="n">
        <v>45692</v>
      </c>
      <c r="D945" t="inlineStr">
        <is>
          <t>KALMAR LÄN</t>
        </is>
      </c>
      <c r="E945" t="inlineStr">
        <is>
          <t>TORSÅS</t>
        </is>
      </c>
      <c r="G945" t="n">
        <v>1.3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46622-2024</t>
        </is>
      </c>
      <c r="B946" s="1" t="n">
        <v>45583</v>
      </c>
      <c r="C946" s="1" t="n">
        <v>45692</v>
      </c>
      <c r="D946" t="inlineStr">
        <is>
          <t>KALMAR LÄN</t>
        </is>
      </c>
      <c r="E946" t="inlineStr">
        <is>
          <t>TORSÅS</t>
        </is>
      </c>
      <c r="G946" t="n">
        <v>0.6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48046-2024</t>
        </is>
      </c>
      <c r="B947" s="1" t="n">
        <v>45589</v>
      </c>
      <c r="C947" s="1" t="n">
        <v>45692</v>
      </c>
      <c r="D947" t="inlineStr">
        <is>
          <t>KALMAR LÄN</t>
        </is>
      </c>
      <c r="E947" t="inlineStr">
        <is>
          <t>TORSÅS</t>
        </is>
      </c>
      <c r="G947" t="n">
        <v>0.9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48854-2024</t>
        </is>
      </c>
      <c r="B948" s="1" t="n">
        <v>45593</v>
      </c>
      <c r="C948" s="1" t="n">
        <v>45692</v>
      </c>
      <c r="D948" t="inlineStr">
        <is>
          <t>KALMAR LÄN</t>
        </is>
      </c>
      <c r="E948" t="inlineStr">
        <is>
          <t>TORSÅS</t>
        </is>
      </c>
      <c r="G948" t="n">
        <v>0.7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49436-2024</t>
        </is>
      </c>
      <c r="B949" s="1" t="n">
        <v>45595</v>
      </c>
      <c r="C949" s="1" t="n">
        <v>45692</v>
      </c>
      <c r="D949" t="inlineStr">
        <is>
          <t>KALMAR LÄN</t>
        </is>
      </c>
      <c r="E949" t="inlineStr">
        <is>
          <t>TORSÅS</t>
        </is>
      </c>
      <c r="G949" t="n">
        <v>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50050-2024</t>
        </is>
      </c>
      <c r="B950" s="1" t="n">
        <v>45600</v>
      </c>
      <c r="C950" s="1" t="n">
        <v>45692</v>
      </c>
      <c r="D950" t="inlineStr">
        <is>
          <t>KALMAR LÄN</t>
        </is>
      </c>
      <c r="E950" t="inlineStr">
        <is>
          <t>TORSÅS</t>
        </is>
      </c>
      <c r="G950" t="n">
        <v>0.8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50675-2024</t>
        </is>
      </c>
      <c r="B951" s="1" t="n">
        <v>45601</v>
      </c>
      <c r="C951" s="1" t="n">
        <v>45692</v>
      </c>
      <c r="D951" t="inlineStr">
        <is>
          <t>KALMAR LÄN</t>
        </is>
      </c>
      <c r="E951" t="inlineStr">
        <is>
          <t>TORSÅS</t>
        </is>
      </c>
      <c r="G951" t="n">
        <v>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50676-2024</t>
        </is>
      </c>
      <c r="B952" s="1" t="n">
        <v>45601</v>
      </c>
      <c r="C952" s="1" t="n">
        <v>45692</v>
      </c>
      <c r="D952" t="inlineStr">
        <is>
          <t>KALMAR LÄN</t>
        </is>
      </c>
      <c r="E952" t="inlineStr">
        <is>
          <t>TORSÅS</t>
        </is>
      </c>
      <c r="G952" t="n">
        <v>2.1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51852-2024</t>
        </is>
      </c>
      <c r="B953" s="1" t="n">
        <v>45607</v>
      </c>
      <c r="C953" s="1" t="n">
        <v>45692</v>
      </c>
      <c r="D953" t="inlineStr">
        <is>
          <t>KALMAR LÄN</t>
        </is>
      </c>
      <c r="E953" t="inlineStr">
        <is>
          <t>TORSÅS</t>
        </is>
      </c>
      <c r="G953" t="n">
        <v>1.4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52659-2024</t>
        </is>
      </c>
      <c r="B954" s="1" t="n">
        <v>45610</v>
      </c>
      <c r="C954" s="1" t="n">
        <v>45692</v>
      </c>
      <c r="D954" t="inlineStr">
        <is>
          <t>KALMAR LÄN</t>
        </is>
      </c>
      <c r="E954" t="inlineStr">
        <is>
          <t>TORSÅS</t>
        </is>
      </c>
      <c r="G954" t="n">
        <v>0.6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53338-2024</t>
        </is>
      </c>
      <c r="B955" s="1" t="n">
        <v>45614</v>
      </c>
      <c r="C955" s="1" t="n">
        <v>45692</v>
      </c>
      <c r="D955" t="inlineStr">
        <is>
          <t>KALMAR LÄN</t>
        </is>
      </c>
      <c r="E955" t="inlineStr">
        <is>
          <t>TORSÅS</t>
        </is>
      </c>
      <c r="G955" t="n">
        <v>0.6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53337-2024</t>
        </is>
      </c>
      <c r="B956" s="1" t="n">
        <v>45614</v>
      </c>
      <c r="C956" s="1" t="n">
        <v>45692</v>
      </c>
      <c r="D956" t="inlineStr">
        <is>
          <t>KALMAR LÄN</t>
        </is>
      </c>
      <c r="E956" t="inlineStr">
        <is>
          <t>TORSÅS</t>
        </is>
      </c>
      <c r="G956" t="n">
        <v>0.8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54462-2024</t>
        </is>
      </c>
      <c r="B957" s="1" t="n">
        <v>45617</v>
      </c>
      <c r="C957" s="1" t="n">
        <v>45692</v>
      </c>
      <c r="D957" t="inlineStr">
        <is>
          <t>KALMAR LÄN</t>
        </is>
      </c>
      <c r="E957" t="inlineStr">
        <is>
          <t>TORSÅS</t>
        </is>
      </c>
      <c r="G957" t="n">
        <v>2.3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54717-2024</t>
        </is>
      </c>
      <c r="B958" s="1" t="n">
        <v>45618</v>
      </c>
      <c r="C958" s="1" t="n">
        <v>45692</v>
      </c>
      <c r="D958" t="inlineStr">
        <is>
          <t>KALMAR LÄN</t>
        </is>
      </c>
      <c r="E958" t="inlineStr">
        <is>
          <t>TORSÅS</t>
        </is>
      </c>
      <c r="G958" t="n">
        <v>0.7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54716-2024</t>
        </is>
      </c>
      <c r="B959" s="1" t="n">
        <v>45618</v>
      </c>
      <c r="C959" s="1" t="n">
        <v>45692</v>
      </c>
      <c r="D959" t="inlineStr">
        <is>
          <t>KALMAR LÄN</t>
        </is>
      </c>
      <c r="E959" t="inlineStr">
        <is>
          <t>TORSÅS</t>
        </is>
      </c>
      <c r="G959" t="n">
        <v>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55279-2024</t>
        </is>
      </c>
      <c r="B960" s="1" t="n">
        <v>45621</v>
      </c>
      <c r="C960" s="1" t="n">
        <v>45692</v>
      </c>
      <c r="D960" t="inlineStr">
        <is>
          <t>KALMAR LÄN</t>
        </is>
      </c>
      <c r="E960" t="inlineStr">
        <is>
          <t>TORSÅS</t>
        </is>
      </c>
      <c r="G960" t="n">
        <v>2.4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55410-2024</t>
        </is>
      </c>
      <c r="B961" s="1" t="n">
        <v>45622</v>
      </c>
      <c r="C961" s="1" t="n">
        <v>45692</v>
      </c>
      <c r="D961" t="inlineStr">
        <is>
          <t>KALMAR LÄN</t>
        </is>
      </c>
      <c r="E961" t="inlineStr">
        <is>
          <t>TORSÅS</t>
        </is>
      </c>
      <c r="G961" t="n">
        <v>0.6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56317-2024</t>
        </is>
      </c>
      <c r="B962" s="1" t="n">
        <v>45624</v>
      </c>
      <c r="C962" s="1" t="n">
        <v>45692</v>
      </c>
      <c r="D962" t="inlineStr">
        <is>
          <t>KALMAR LÄN</t>
        </is>
      </c>
      <c r="E962" t="inlineStr">
        <is>
          <t>TORSÅS</t>
        </is>
      </c>
      <c r="G962" t="n">
        <v>0.6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56321-2024</t>
        </is>
      </c>
      <c r="B963" s="1" t="n">
        <v>45624</v>
      </c>
      <c r="C963" s="1" t="n">
        <v>45692</v>
      </c>
      <c r="D963" t="inlineStr">
        <is>
          <t>KALMAR LÄN</t>
        </is>
      </c>
      <c r="E963" t="inlineStr">
        <is>
          <t>TORSÅS</t>
        </is>
      </c>
      <c r="G963" t="n">
        <v>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56311-2024</t>
        </is>
      </c>
      <c r="B964" s="1" t="n">
        <v>45624</v>
      </c>
      <c r="C964" s="1" t="n">
        <v>45692</v>
      </c>
      <c r="D964" t="inlineStr">
        <is>
          <t>KALMAR LÄN</t>
        </is>
      </c>
      <c r="E964" t="inlineStr">
        <is>
          <t>TORSÅS</t>
        </is>
      </c>
      <c r="G964" t="n">
        <v>3.4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56318-2024</t>
        </is>
      </c>
      <c r="B965" s="1" t="n">
        <v>45624</v>
      </c>
      <c r="C965" s="1" t="n">
        <v>45692</v>
      </c>
      <c r="D965" t="inlineStr">
        <is>
          <t>KALMAR LÄN</t>
        </is>
      </c>
      <c r="E965" t="inlineStr">
        <is>
          <t>TORSÅS</t>
        </is>
      </c>
      <c r="G965" t="n">
        <v>0.9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56320-2024</t>
        </is>
      </c>
      <c r="B966" s="1" t="n">
        <v>45624</v>
      </c>
      <c r="C966" s="1" t="n">
        <v>45692</v>
      </c>
      <c r="D966" t="inlineStr">
        <is>
          <t>KALMAR LÄN</t>
        </is>
      </c>
      <c r="E966" t="inlineStr">
        <is>
          <t>TORSÅS</t>
        </is>
      </c>
      <c r="G966" t="n">
        <v>4.6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56659-2024</t>
        </is>
      </c>
      <c r="B967" s="1" t="n">
        <v>45625</v>
      </c>
      <c r="C967" s="1" t="n">
        <v>45692</v>
      </c>
      <c r="D967" t="inlineStr">
        <is>
          <t>KALMAR LÄN</t>
        </is>
      </c>
      <c r="E967" t="inlineStr">
        <is>
          <t>TORSÅS</t>
        </is>
      </c>
      <c r="G967" t="n">
        <v>1.8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56658-2024</t>
        </is>
      </c>
      <c r="B968" s="1" t="n">
        <v>45625</v>
      </c>
      <c r="C968" s="1" t="n">
        <v>45692</v>
      </c>
      <c r="D968" t="inlineStr">
        <is>
          <t>KALMAR LÄN</t>
        </is>
      </c>
      <c r="E968" t="inlineStr">
        <is>
          <t>TORSÅS</t>
        </is>
      </c>
      <c r="G968" t="n">
        <v>2.5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56836-2024</t>
        </is>
      </c>
      <c r="B969" s="1" t="n">
        <v>45628</v>
      </c>
      <c r="C969" s="1" t="n">
        <v>45692</v>
      </c>
      <c r="D969" t="inlineStr">
        <is>
          <t>KALMAR LÄN</t>
        </is>
      </c>
      <c r="E969" t="inlineStr">
        <is>
          <t>TORSÅS</t>
        </is>
      </c>
      <c r="G969" t="n">
        <v>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58917-2024</t>
        </is>
      </c>
      <c r="B970" s="1" t="n">
        <v>45636</v>
      </c>
      <c r="C970" s="1" t="n">
        <v>45692</v>
      </c>
      <c r="D970" t="inlineStr">
        <is>
          <t>KALMAR LÄN</t>
        </is>
      </c>
      <c r="E970" t="inlineStr">
        <is>
          <t>TORSÅS</t>
        </is>
      </c>
      <c r="G970" t="n">
        <v>4.4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60718-2024</t>
        </is>
      </c>
      <c r="B971" s="1" t="n">
        <v>45644</v>
      </c>
      <c r="C971" s="1" t="n">
        <v>45692</v>
      </c>
      <c r="D971" t="inlineStr">
        <is>
          <t>KALMAR LÄN</t>
        </is>
      </c>
      <c r="E971" t="inlineStr">
        <is>
          <t>TORSÅS</t>
        </is>
      </c>
      <c r="G971" t="n">
        <v>1.3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60716-2024</t>
        </is>
      </c>
      <c r="B972" s="1" t="n">
        <v>45644</v>
      </c>
      <c r="C972" s="1" t="n">
        <v>45692</v>
      </c>
      <c r="D972" t="inlineStr">
        <is>
          <t>KALMAR LÄN</t>
        </is>
      </c>
      <c r="E972" t="inlineStr">
        <is>
          <t>TORSÅS</t>
        </is>
      </c>
      <c r="G972" t="n">
        <v>2.4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61268-2024</t>
        </is>
      </c>
      <c r="B973" s="1" t="n">
        <v>45645</v>
      </c>
      <c r="C973" s="1" t="n">
        <v>45692</v>
      </c>
      <c r="D973" t="inlineStr">
        <is>
          <t>KALMAR LÄN</t>
        </is>
      </c>
      <c r="E973" t="inlineStr">
        <is>
          <t>TORSÅS</t>
        </is>
      </c>
      <c r="G973" t="n">
        <v>4.9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61144-2024</t>
        </is>
      </c>
      <c r="B974" s="1" t="n">
        <v>45645</v>
      </c>
      <c r="C974" s="1" t="n">
        <v>45692</v>
      </c>
      <c r="D974" t="inlineStr">
        <is>
          <t>KALMAR LÄN</t>
        </is>
      </c>
      <c r="E974" t="inlineStr">
        <is>
          <t>TORSÅS</t>
        </is>
      </c>
      <c r="G974" t="n">
        <v>2.1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61105-2024</t>
        </is>
      </c>
      <c r="B975" s="1" t="n">
        <v>45645</v>
      </c>
      <c r="C975" s="1" t="n">
        <v>45692</v>
      </c>
      <c r="D975" t="inlineStr">
        <is>
          <t>KALMAR LÄN</t>
        </is>
      </c>
      <c r="E975" t="inlineStr">
        <is>
          <t>TORSÅS</t>
        </is>
      </c>
      <c r="G975" t="n">
        <v>2.2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61260-2024</t>
        </is>
      </c>
      <c r="B976" s="1" t="n">
        <v>45645</v>
      </c>
      <c r="C976" s="1" t="n">
        <v>45692</v>
      </c>
      <c r="D976" t="inlineStr">
        <is>
          <t>KALMAR LÄN</t>
        </is>
      </c>
      <c r="E976" t="inlineStr">
        <is>
          <t>TORSÅS</t>
        </is>
      </c>
      <c r="G976" t="n">
        <v>3.3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61263-2024</t>
        </is>
      </c>
      <c r="B977" s="1" t="n">
        <v>45645</v>
      </c>
      <c r="C977" s="1" t="n">
        <v>45692</v>
      </c>
      <c r="D977" t="inlineStr">
        <is>
          <t>KALMAR LÄN</t>
        </is>
      </c>
      <c r="E977" t="inlineStr">
        <is>
          <t>TORSÅS</t>
        </is>
      </c>
      <c r="G977" t="n">
        <v>2.7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61789-2024</t>
        </is>
      </c>
      <c r="B978" s="1" t="n">
        <v>45649</v>
      </c>
      <c r="C978" s="1" t="n">
        <v>45692</v>
      </c>
      <c r="D978" t="inlineStr">
        <is>
          <t>KALMAR LÄN</t>
        </is>
      </c>
      <c r="E978" t="inlineStr">
        <is>
          <t>TORSÅS</t>
        </is>
      </c>
      <c r="G978" t="n">
        <v>1.1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431-2025</t>
        </is>
      </c>
      <c r="B979" s="1" t="n">
        <v>45664</v>
      </c>
      <c r="C979" s="1" t="n">
        <v>45692</v>
      </c>
      <c r="D979" t="inlineStr">
        <is>
          <t>KALMAR LÄN</t>
        </is>
      </c>
      <c r="E979" t="inlineStr">
        <is>
          <t>TORSÅS</t>
        </is>
      </c>
      <c r="G979" t="n">
        <v>3.2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786-2025</t>
        </is>
      </c>
      <c r="B980" s="1" t="n">
        <v>45665</v>
      </c>
      <c r="C980" s="1" t="n">
        <v>45692</v>
      </c>
      <c r="D980" t="inlineStr">
        <is>
          <t>KALMAR LÄN</t>
        </is>
      </c>
      <c r="E980" t="inlineStr">
        <is>
          <t>TORSÅS</t>
        </is>
      </c>
      <c r="G980" t="n">
        <v>1.9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784-2025</t>
        </is>
      </c>
      <c r="B981" s="1" t="n">
        <v>45665</v>
      </c>
      <c r="C981" s="1" t="n">
        <v>45692</v>
      </c>
      <c r="D981" t="inlineStr">
        <is>
          <t>KALMAR LÄN</t>
        </is>
      </c>
      <c r="E981" t="inlineStr">
        <is>
          <t>TORSÅS</t>
        </is>
      </c>
      <c r="G981" t="n">
        <v>1.9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2132-2025</t>
        </is>
      </c>
      <c r="B982" s="1" t="n">
        <v>45672</v>
      </c>
      <c r="C982" s="1" t="n">
        <v>45692</v>
      </c>
      <c r="D982" t="inlineStr">
        <is>
          <t>KALMAR LÄN</t>
        </is>
      </c>
      <c r="E982" t="inlineStr">
        <is>
          <t>TORSÅS</t>
        </is>
      </c>
      <c r="G982" t="n">
        <v>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2136-2025</t>
        </is>
      </c>
      <c r="B983" s="1" t="n">
        <v>45672</v>
      </c>
      <c r="C983" s="1" t="n">
        <v>45692</v>
      </c>
      <c r="D983" t="inlineStr">
        <is>
          <t>KALMAR LÄN</t>
        </is>
      </c>
      <c r="E983" t="inlineStr">
        <is>
          <t>TORSÅS</t>
        </is>
      </c>
      <c r="G983" t="n">
        <v>0.9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2227-2025</t>
        </is>
      </c>
      <c r="B984" s="1" t="n">
        <v>45673</v>
      </c>
      <c r="C984" s="1" t="n">
        <v>45692</v>
      </c>
      <c r="D984" t="inlineStr">
        <is>
          <t>KALMAR LÄN</t>
        </is>
      </c>
      <c r="E984" t="inlineStr">
        <is>
          <t>TORSÅS</t>
        </is>
      </c>
      <c r="G984" t="n">
        <v>2.6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2874-2025</t>
        </is>
      </c>
      <c r="B985" s="1" t="n">
        <v>45677</v>
      </c>
      <c r="C985" s="1" t="n">
        <v>45692</v>
      </c>
      <c r="D985" t="inlineStr">
        <is>
          <t>KALMAR LÄN</t>
        </is>
      </c>
      <c r="E985" t="inlineStr">
        <is>
          <t>TORSÅS</t>
        </is>
      </c>
      <c r="G985" t="n">
        <v>5.5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4713-2025</t>
        </is>
      </c>
      <c r="B986" s="1" t="n">
        <v>45688</v>
      </c>
      <c r="C986" s="1" t="n">
        <v>45692</v>
      </c>
      <c r="D986" t="inlineStr">
        <is>
          <t>KALMAR LÄN</t>
        </is>
      </c>
      <c r="E986" t="inlineStr">
        <is>
          <t>TORSÅS</t>
        </is>
      </c>
      <c r="G986" t="n">
        <v>2.2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4688-2025</t>
        </is>
      </c>
      <c r="B987" s="1" t="n">
        <v>45688</v>
      </c>
      <c r="C987" s="1" t="n">
        <v>45692</v>
      </c>
      <c r="D987" t="inlineStr">
        <is>
          <t>KALMAR LÄN</t>
        </is>
      </c>
      <c r="E987" t="inlineStr">
        <is>
          <t>TORSÅS</t>
        </is>
      </c>
      <c r="G987" t="n">
        <v>2.4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>
      <c r="A988" t="inlineStr">
        <is>
          <t>A 5107-2025</t>
        </is>
      </c>
      <c r="B988" s="1" t="n">
        <v>45691</v>
      </c>
      <c r="C988" s="1" t="n">
        <v>45692</v>
      </c>
      <c r="D988" t="inlineStr">
        <is>
          <t>KALMAR LÄN</t>
        </is>
      </c>
      <c r="E988" t="inlineStr">
        <is>
          <t>TORSÅS</t>
        </is>
      </c>
      <c r="G988" t="n">
        <v>1.8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2025-02-04T15:52:19Z</dcterms:created>
  <dcterms:modified xmlns:dcterms="http://purl.org/dc/terms/" xmlns:xsi="http://www.w3.org/2001/XMLSchema-instance" xsi:type="dcterms:W3CDTF">2025-02-04T15:52:20Z</dcterms:modified>
</cp:coreProperties>
</file>