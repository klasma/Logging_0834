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45781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45781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45781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45781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45781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45781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45781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45781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45781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16688-2025</t>
        </is>
      </c>
      <c r="B11" s="1" t="n">
        <v>45754</v>
      </c>
      <c r="C11" s="1" t="n">
        <v>45781</v>
      </c>
      <c r="D11" t="inlineStr">
        <is>
          <t>KALMAR LÄN</t>
        </is>
      </c>
      <c r="E11" t="inlineStr">
        <is>
          <t>TORSÅS</t>
        </is>
      </c>
      <c r="F11" t="inlineStr">
        <is>
          <t>Övriga Aktiebolag</t>
        </is>
      </c>
      <c r="G11" t="n">
        <v>4.3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HYPERLINK("https://klasma.github.io/Logging_080834/artfynd/A 16688-2025 artfynd.xlsx", "A 16688-2025")</f>
        <v/>
      </c>
      <c r="T11">
        <f>HYPERLINK("https://klasma.github.io/Logging_080834/kartor/A 16688-2025 karta.png", "A 16688-2025")</f>
        <v/>
      </c>
      <c r="V11">
        <f>HYPERLINK("https://klasma.github.io/Logging_080834/klagomål/A 16688-2025 FSC-klagomål.docx", "A 16688-2025")</f>
        <v/>
      </c>
      <c r="W11">
        <f>HYPERLINK("https://klasma.github.io/Logging_080834/klagomålsmail/A 16688-2025 FSC-klagomål mail.docx", "A 16688-2025")</f>
        <v/>
      </c>
      <c r="X11">
        <f>HYPERLINK("https://klasma.github.io/Logging_080834/tillsyn/A 16688-2025 tillsynsbegäran.docx", "A 16688-2025")</f>
        <v/>
      </c>
      <c r="Y11">
        <f>HYPERLINK("https://klasma.github.io/Logging_080834/tillsynsmail/A 16688-2025 tillsynsbegäran mail.docx", "A 16688-2025")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45781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45781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45781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45781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45781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45781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45781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45781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45781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10603-2023</t>
        </is>
      </c>
      <c r="B21" s="1" t="n">
        <v>44988</v>
      </c>
      <c r="C21" s="1" t="n">
        <v>45781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Stare
Skogsödla</t>
        </is>
      </c>
      <c r="S21">
        <f>HYPERLINK("https://klasma.github.io/Logging_0834/artfynd/A 10603-2023 artfynd.xlsx", "A 10603-2023")</f>
        <v/>
      </c>
      <c r="T21">
        <f>HYPERLINK("https://klasma.github.io/Logging_0834/kartor/A 10603-2023 karta.png", "A 10603-2023")</f>
        <v/>
      </c>
      <c r="V21">
        <f>HYPERLINK("https://klasma.github.io/Logging_0834/klagomål/A 10603-2023 FSC-klagomål.docx", "A 10603-2023")</f>
        <v/>
      </c>
      <c r="W21">
        <f>HYPERLINK("https://klasma.github.io/Logging_0834/klagomålsmail/A 10603-2023 FSC-klagomål mail.docx", "A 10603-2023")</f>
        <v/>
      </c>
      <c r="X21">
        <f>HYPERLINK("https://klasma.github.io/Logging_0834/tillsyn/A 10603-2023 tillsynsbegäran.docx", "A 10603-2023")</f>
        <v/>
      </c>
      <c r="Y21">
        <f>HYPERLINK("https://klasma.github.io/Logging_0834/tillsynsmail/A 10603-2023 tillsynsbegäran mail.docx", "A 10603-2023")</f>
        <v/>
      </c>
    </row>
    <row r="22" ht="15" customHeight="1">
      <c r="A22" t="inlineStr">
        <is>
          <t>A 39297-2024</t>
        </is>
      </c>
      <c r="B22" s="1" t="n">
        <v>45551</v>
      </c>
      <c r="C22" s="1" t="n">
        <v>45781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Större brunfladdermus
Vattenfladdermus</t>
        </is>
      </c>
      <c r="S22">
        <f>HYPERLINK("https://klasma.github.io/Logging_0834/artfynd/A 39297-2024 artfynd.xlsx", "A 39297-2024")</f>
        <v/>
      </c>
      <c r="T22">
        <f>HYPERLINK("https://klasma.github.io/Logging_0834/kartor/A 39297-2024 karta.png", "A 39297-2024")</f>
        <v/>
      </c>
      <c r="V22">
        <f>HYPERLINK("https://klasma.github.io/Logging_0834/klagomål/A 39297-2024 FSC-klagomål.docx", "A 39297-2024")</f>
        <v/>
      </c>
      <c r="W22">
        <f>HYPERLINK("https://klasma.github.io/Logging_0834/klagomålsmail/A 39297-2024 FSC-klagomål mail.docx", "A 39297-2024")</f>
        <v/>
      </c>
      <c r="X22">
        <f>HYPERLINK("https://klasma.github.io/Logging_0834/tillsyn/A 39297-2024 tillsynsbegäran.docx", "A 39297-2024")</f>
        <v/>
      </c>
      <c r="Y22">
        <f>HYPERLINK("https://klasma.github.io/Logging_0834/tillsynsmail/A 39297-2024 tillsynsbegäran mail.docx", "A 39297-2024")</f>
        <v/>
      </c>
    </row>
    <row r="23" ht="15" customHeight="1">
      <c r="A23" t="inlineStr">
        <is>
          <t>A 21143-2019</t>
        </is>
      </c>
      <c r="B23" s="1" t="n">
        <v>43579</v>
      </c>
      <c r="C23" s="1" t="n">
        <v>45781</v>
      </c>
      <c r="D23" t="inlineStr">
        <is>
          <t>KALMAR LÄN</t>
        </is>
      </c>
      <c r="E23" t="inlineStr">
        <is>
          <t>TORSÅS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21143-2019 artfynd.xlsx", "A 21143-2019")</f>
        <v/>
      </c>
      <c r="T23">
        <f>HYPERLINK("https://klasma.github.io/Logging_0834/kartor/A 21143-2019 karta.png", "A 21143-2019")</f>
        <v/>
      </c>
      <c r="V23">
        <f>HYPERLINK("https://klasma.github.io/Logging_0834/klagomål/A 21143-2019 FSC-klagomål.docx", "A 21143-2019")</f>
        <v/>
      </c>
      <c r="W23">
        <f>HYPERLINK("https://klasma.github.io/Logging_0834/klagomålsmail/A 21143-2019 FSC-klagomål mail.docx", "A 21143-2019")</f>
        <v/>
      </c>
      <c r="X23">
        <f>HYPERLINK("https://klasma.github.io/Logging_0834/tillsyn/A 21143-2019 tillsynsbegäran.docx", "A 21143-2019")</f>
        <v/>
      </c>
      <c r="Y23">
        <f>HYPERLINK("https://klasma.github.io/Logging_0834/tillsynsmail/A 21143-2019 tillsynsbegäran mail.docx", "A 21143-2019")</f>
        <v/>
      </c>
    </row>
    <row r="24" ht="15" customHeight="1">
      <c r="A24" t="inlineStr">
        <is>
          <t>A 36218-2019</t>
        </is>
      </c>
      <c r="B24" s="1" t="n">
        <v>43669</v>
      </c>
      <c r="C24" s="1" t="n">
        <v>45781</v>
      </c>
      <c r="D24" t="inlineStr">
        <is>
          <t>KALMAR LÄN</t>
        </is>
      </c>
      <c r="E24" t="inlineStr">
        <is>
          <t>TORSÅS</t>
        </is>
      </c>
      <c r="G24" t="n">
        <v>15.5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HYPERLINK("https://klasma.github.io/Logging_0834/artfynd/A 36218-2019 artfynd.xlsx", "A 36218-2019")</f>
        <v/>
      </c>
      <c r="T24">
        <f>HYPERLINK("https://klasma.github.io/Logging_0834/kartor/A 36218-2019 karta.png", "A 36218-2019")</f>
        <v/>
      </c>
      <c r="V24">
        <f>HYPERLINK("https://klasma.github.io/Logging_0834/klagomål/A 36218-2019 FSC-klagomål.docx", "A 36218-2019")</f>
        <v/>
      </c>
      <c r="W24">
        <f>HYPERLINK("https://klasma.github.io/Logging_0834/klagomålsmail/A 36218-2019 FSC-klagomål mail.docx", "A 36218-2019")</f>
        <v/>
      </c>
      <c r="X24">
        <f>HYPERLINK("https://klasma.github.io/Logging_0834/tillsyn/A 36218-2019 tillsynsbegäran.docx", "A 36218-2019")</f>
        <v/>
      </c>
      <c r="Y24">
        <f>HYPERLINK("https://klasma.github.io/Logging_0834/tillsynsmail/A 36218-2019 tillsynsbegäran mail.docx", "A 36218-2019")</f>
        <v/>
      </c>
    </row>
    <row r="25" ht="15" customHeight="1">
      <c r="A25" t="inlineStr">
        <is>
          <t>A 37689-2019</t>
        </is>
      </c>
      <c r="B25" s="1" t="n">
        <v>43682</v>
      </c>
      <c r="C25" s="1" t="n">
        <v>45781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HYPERLINK("https://klasma.github.io/Logging_0834/artfynd/A 37689-2019 artfynd.xlsx", "A 37689-2019")</f>
        <v/>
      </c>
      <c r="T25">
        <f>HYPERLINK("https://klasma.github.io/Logging_0834/kartor/A 37689-2019 karta.png", "A 37689-2019")</f>
        <v/>
      </c>
      <c r="V25">
        <f>HYPERLINK("https://klasma.github.io/Logging_0834/klagomål/A 37689-2019 FSC-klagomål.docx", "A 37689-2019")</f>
        <v/>
      </c>
      <c r="W25">
        <f>HYPERLINK("https://klasma.github.io/Logging_0834/klagomålsmail/A 37689-2019 FSC-klagomål mail.docx", "A 37689-2019")</f>
        <v/>
      </c>
      <c r="X25">
        <f>HYPERLINK("https://klasma.github.io/Logging_0834/tillsyn/A 37689-2019 tillsynsbegäran.docx", "A 37689-2019")</f>
        <v/>
      </c>
      <c r="Y25">
        <f>HYPERLINK("https://klasma.github.io/Logging_0834/tillsynsmail/A 37689-2019 tillsynsbegäran mail.docx", "A 37689-2019")</f>
        <v/>
      </c>
    </row>
    <row r="26" ht="15" customHeight="1">
      <c r="A26" t="inlineStr">
        <is>
          <t>A 39728-2019</t>
        </is>
      </c>
      <c r="B26" s="1" t="n">
        <v>43691</v>
      </c>
      <c r="C26" s="1" t="n">
        <v>45781</v>
      </c>
      <c r="D26" t="inlineStr">
        <is>
          <t>KALMAR LÄN</t>
        </is>
      </c>
      <c r="E26" t="inlineStr">
        <is>
          <t>TORSÅS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39728-2019 artfynd.xlsx", "A 39728-2019")</f>
        <v/>
      </c>
      <c r="T26">
        <f>HYPERLINK("https://klasma.github.io/Logging_0834/kartor/A 39728-2019 karta.png", "A 39728-2019")</f>
        <v/>
      </c>
      <c r="V26">
        <f>HYPERLINK("https://klasma.github.io/Logging_0834/klagomål/A 39728-2019 FSC-klagomål.docx", "A 39728-2019")</f>
        <v/>
      </c>
      <c r="W26">
        <f>HYPERLINK("https://klasma.github.io/Logging_0834/klagomålsmail/A 39728-2019 FSC-klagomål mail.docx", "A 39728-2019")</f>
        <v/>
      </c>
      <c r="X26">
        <f>HYPERLINK("https://klasma.github.io/Logging_0834/tillsyn/A 39728-2019 tillsynsbegäran.docx", "A 39728-2019")</f>
        <v/>
      </c>
      <c r="Y26">
        <f>HYPERLINK("https://klasma.github.io/Logging_0834/tillsynsmail/A 39728-2019 tillsynsbegäran mail.docx", "A 39728-2019")</f>
        <v/>
      </c>
    </row>
    <row r="27" ht="15" customHeight="1">
      <c r="A27" t="inlineStr">
        <is>
          <t>A 42211-2019</t>
        </is>
      </c>
      <c r="B27" s="1" t="n">
        <v>43703</v>
      </c>
      <c r="C27" s="1" t="n">
        <v>45781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1</v>
      </c>
      <c r="R27" s="2" t="inlineStr">
        <is>
          <t>Pimpinellros</t>
        </is>
      </c>
      <c r="S27">
        <f>HYPERLINK("https://klasma.github.io/Logging_0834/artfynd/A 42211-2019 artfynd.xlsx", "A 42211-2019")</f>
        <v/>
      </c>
      <c r="T27">
        <f>HYPERLINK("https://klasma.github.io/Logging_0834/kartor/A 42211-2019 karta.png", "A 42211-2019")</f>
        <v/>
      </c>
      <c r="V27">
        <f>HYPERLINK("https://klasma.github.io/Logging_0834/klagomål/A 42211-2019 FSC-klagomål.docx", "A 42211-2019")</f>
        <v/>
      </c>
      <c r="W27">
        <f>HYPERLINK("https://klasma.github.io/Logging_0834/klagomålsmail/A 42211-2019 FSC-klagomål mail.docx", "A 42211-2019")</f>
        <v/>
      </c>
      <c r="X27">
        <f>HYPERLINK("https://klasma.github.io/Logging_0834/tillsyn/A 42211-2019 tillsynsbegäran.docx", "A 42211-2019")</f>
        <v/>
      </c>
      <c r="Y27">
        <f>HYPERLINK("https://klasma.github.io/Logging_0834/tillsynsmail/A 42211-2019 tillsynsbegäran mail.docx", "A 42211-2019")</f>
        <v/>
      </c>
    </row>
    <row r="28" ht="15" customHeight="1">
      <c r="A28" t="inlineStr">
        <is>
          <t>A 42206-2019</t>
        </is>
      </c>
      <c r="B28" s="1" t="n">
        <v>43703</v>
      </c>
      <c r="C28" s="1" t="n">
        <v>45781</v>
      </c>
      <c r="D28" t="inlineStr">
        <is>
          <t>KALMAR LÄN</t>
        </is>
      </c>
      <c r="E28" t="inlineStr">
        <is>
          <t>TORSÅS</t>
        </is>
      </c>
      <c r="G28" t="n">
        <v>13.3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42206-2019 artfynd.xlsx", "A 42206-2019")</f>
        <v/>
      </c>
      <c r="T28">
        <f>HYPERLINK("https://klasma.github.io/Logging_0834/kartor/A 42206-2019 karta.png", "A 42206-2019")</f>
        <v/>
      </c>
      <c r="V28">
        <f>HYPERLINK("https://klasma.github.io/Logging_0834/klagomål/A 42206-2019 FSC-klagomål.docx", "A 42206-2019")</f>
        <v/>
      </c>
      <c r="W28">
        <f>HYPERLINK("https://klasma.github.io/Logging_0834/klagomålsmail/A 42206-2019 FSC-klagomål mail.docx", "A 42206-2019")</f>
        <v/>
      </c>
      <c r="X28">
        <f>HYPERLINK("https://klasma.github.io/Logging_0834/tillsyn/A 42206-2019 tillsynsbegäran.docx", "A 42206-2019")</f>
        <v/>
      </c>
      <c r="Y28">
        <f>HYPERLINK("https://klasma.github.io/Logging_0834/tillsynsmail/A 42206-2019 tillsynsbegäran mail.docx", "A 42206-2019")</f>
        <v/>
      </c>
    </row>
    <row r="29" ht="15" customHeight="1">
      <c r="A29" t="inlineStr">
        <is>
          <t>A 47710-2019</t>
        </is>
      </c>
      <c r="B29" s="1" t="n">
        <v>43724</v>
      </c>
      <c r="C29" s="1" t="n">
        <v>45781</v>
      </c>
      <c r="D29" t="inlineStr">
        <is>
          <t>KALMAR LÄN</t>
        </is>
      </c>
      <c r="E29" t="inlineStr">
        <is>
          <t>TORSÅS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47710-2019 artfynd.xlsx", "A 47710-2019")</f>
        <v/>
      </c>
      <c r="T29">
        <f>HYPERLINK("https://klasma.github.io/Logging_0834/kartor/A 47710-2019 karta.png", "A 47710-2019")</f>
        <v/>
      </c>
      <c r="V29">
        <f>HYPERLINK("https://klasma.github.io/Logging_0834/klagomål/A 47710-2019 FSC-klagomål.docx", "A 47710-2019")</f>
        <v/>
      </c>
      <c r="W29">
        <f>HYPERLINK("https://klasma.github.io/Logging_0834/klagomålsmail/A 47710-2019 FSC-klagomål mail.docx", "A 47710-2019")</f>
        <v/>
      </c>
      <c r="X29">
        <f>HYPERLINK("https://klasma.github.io/Logging_0834/tillsyn/A 47710-2019 tillsynsbegäran.docx", "A 47710-2019")</f>
        <v/>
      </c>
      <c r="Y29">
        <f>HYPERLINK("https://klasma.github.io/Logging_0834/tillsynsmail/A 47710-2019 tillsynsbegäran mail.docx", "A 47710-2019")</f>
        <v/>
      </c>
    </row>
    <row r="30" ht="15" customHeight="1">
      <c r="A30" t="inlineStr">
        <is>
          <t>A 15136-2020</t>
        </is>
      </c>
      <c r="B30" s="1" t="n">
        <v>43911</v>
      </c>
      <c r="C30" s="1" t="n">
        <v>45781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HYPERLINK("https://klasma.github.io/Logging_0834/artfynd/A 15136-2020 artfynd.xlsx", "A 15136-2020")</f>
        <v/>
      </c>
      <c r="T30">
        <f>HYPERLINK("https://klasma.github.io/Logging_0834/kartor/A 15136-2020 karta.png", "A 15136-2020")</f>
        <v/>
      </c>
      <c r="V30">
        <f>HYPERLINK("https://klasma.github.io/Logging_0834/klagomål/A 15136-2020 FSC-klagomål.docx", "A 15136-2020")</f>
        <v/>
      </c>
      <c r="W30">
        <f>HYPERLINK("https://klasma.github.io/Logging_0834/klagomålsmail/A 15136-2020 FSC-klagomål mail.docx", "A 15136-2020")</f>
        <v/>
      </c>
      <c r="X30">
        <f>HYPERLINK("https://klasma.github.io/Logging_0834/tillsyn/A 15136-2020 tillsynsbegäran.docx", "A 15136-2020")</f>
        <v/>
      </c>
      <c r="Y30">
        <f>HYPERLINK("https://klasma.github.io/Logging_0834/tillsynsmail/A 15136-2020 tillsynsbegäran mail.docx", "A 15136-2020")</f>
        <v/>
      </c>
      <c r="Z30">
        <f>HYPERLINK("https://klasma.github.io/Logging_0834/fåglar/A 15136-2020 prioriterade fågelarter.docx", "A 15136-2020")</f>
        <v/>
      </c>
    </row>
    <row r="31" ht="15" customHeight="1">
      <c r="A31" t="inlineStr">
        <is>
          <t>A 47536-2020</t>
        </is>
      </c>
      <c r="B31" s="1" t="n">
        <v>44098</v>
      </c>
      <c r="C31" s="1" t="n">
        <v>45781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47536-2020 artfynd.xlsx", "A 47536-2020")</f>
        <v/>
      </c>
      <c r="T31">
        <f>HYPERLINK("https://klasma.github.io/Logging_0834/kartor/A 47536-2020 karta.png", "A 47536-2020")</f>
        <v/>
      </c>
      <c r="V31">
        <f>HYPERLINK("https://klasma.github.io/Logging_0834/klagomål/A 47536-2020 FSC-klagomål.docx", "A 47536-2020")</f>
        <v/>
      </c>
      <c r="W31">
        <f>HYPERLINK("https://klasma.github.io/Logging_0834/klagomålsmail/A 47536-2020 FSC-klagomål mail.docx", "A 47536-2020")</f>
        <v/>
      </c>
      <c r="X31">
        <f>HYPERLINK("https://klasma.github.io/Logging_0834/tillsyn/A 47536-2020 tillsynsbegäran.docx", "A 47536-2020")</f>
        <v/>
      </c>
      <c r="Y31">
        <f>HYPERLINK("https://klasma.github.io/Logging_0834/tillsynsmail/A 47536-2020 tillsynsbegäran mail.docx", "A 47536-2020")</f>
        <v/>
      </c>
    </row>
    <row r="32" ht="15" customHeight="1">
      <c r="A32" t="inlineStr">
        <is>
          <t>A 49211-2020</t>
        </is>
      </c>
      <c r="B32" s="1" t="n">
        <v>44105</v>
      </c>
      <c r="C32" s="1" t="n">
        <v>45781</v>
      </c>
      <c r="D32" t="inlineStr">
        <is>
          <t>KALMAR LÄN</t>
        </is>
      </c>
      <c r="E32" t="inlineStr">
        <is>
          <t>TORSÅS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HYPERLINK("https://klasma.github.io/Logging_0834/artfynd/A 49211-2020 artfynd.xlsx", "A 49211-2020")</f>
        <v/>
      </c>
      <c r="T32">
        <f>HYPERLINK("https://klasma.github.io/Logging_0834/kartor/A 49211-2020 karta.png", "A 49211-2020")</f>
        <v/>
      </c>
      <c r="V32">
        <f>HYPERLINK("https://klasma.github.io/Logging_0834/klagomål/A 49211-2020 FSC-klagomål.docx", "A 49211-2020")</f>
        <v/>
      </c>
      <c r="W32">
        <f>HYPERLINK("https://klasma.github.io/Logging_0834/klagomålsmail/A 49211-2020 FSC-klagomål mail.docx", "A 49211-2020")</f>
        <v/>
      </c>
      <c r="X32">
        <f>HYPERLINK("https://klasma.github.io/Logging_0834/tillsyn/A 49211-2020 tillsynsbegäran.docx", "A 49211-2020")</f>
        <v/>
      </c>
      <c r="Y32">
        <f>HYPERLINK("https://klasma.github.io/Logging_0834/tillsynsmail/A 49211-2020 tillsynsbegäran mail.docx", "A 49211-2020")</f>
        <v/>
      </c>
    </row>
    <row r="33" ht="15" customHeight="1">
      <c r="A33" t="inlineStr">
        <is>
          <t>A 53918-2020</t>
        </is>
      </c>
      <c r="B33" s="1" t="n">
        <v>44125</v>
      </c>
      <c r="C33" s="1" t="n">
        <v>45781</v>
      </c>
      <c r="D33" t="inlineStr">
        <is>
          <t>KALMAR LÄN</t>
        </is>
      </c>
      <c r="E33" t="inlineStr">
        <is>
          <t>TORSÅS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HYPERLINK("https://klasma.github.io/Logging_0834/artfynd/A 53918-2020 artfynd.xlsx", "A 53918-2020")</f>
        <v/>
      </c>
      <c r="T33">
        <f>HYPERLINK("https://klasma.github.io/Logging_0834/kartor/A 53918-2020 karta.png", "A 53918-2020")</f>
        <v/>
      </c>
      <c r="V33">
        <f>HYPERLINK("https://klasma.github.io/Logging_0834/klagomål/A 53918-2020 FSC-klagomål.docx", "A 53918-2020")</f>
        <v/>
      </c>
      <c r="W33">
        <f>HYPERLINK("https://klasma.github.io/Logging_0834/klagomålsmail/A 53918-2020 FSC-klagomål mail.docx", "A 53918-2020")</f>
        <v/>
      </c>
      <c r="X33">
        <f>HYPERLINK("https://klasma.github.io/Logging_0834/tillsyn/A 53918-2020 tillsynsbegäran.docx", "A 53918-2020")</f>
        <v/>
      </c>
      <c r="Y33">
        <f>HYPERLINK("https://klasma.github.io/Logging_0834/tillsynsmail/A 53918-2020 tillsynsbegäran mail.docx", "A 53918-2020")</f>
        <v/>
      </c>
    </row>
    <row r="34" ht="15" customHeight="1">
      <c r="A34" t="inlineStr">
        <is>
          <t>A 5861-2021</t>
        </is>
      </c>
      <c r="B34" s="1" t="n">
        <v>44231</v>
      </c>
      <c r="C34" s="1" t="n">
        <v>45781</v>
      </c>
      <c r="D34" t="inlineStr">
        <is>
          <t>KALMAR LÄN</t>
        </is>
      </c>
      <c r="E34" t="inlineStr">
        <is>
          <t>TORSÅS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HYPERLINK("https://klasma.github.io/Logging_0834/artfynd/A 5861-2021 artfynd.xlsx", "A 5861-2021")</f>
        <v/>
      </c>
      <c r="T34">
        <f>HYPERLINK("https://klasma.github.io/Logging_0834/kartor/A 5861-2021 karta.png", "A 5861-2021")</f>
        <v/>
      </c>
      <c r="V34">
        <f>HYPERLINK("https://klasma.github.io/Logging_0834/klagomål/A 5861-2021 FSC-klagomål.docx", "A 5861-2021")</f>
        <v/>
      </c>
      <c r="W34">
        <f>HYPERLINK("https://klasma.github.io/Logging_0834/klagomålsmail/A 5861-2021 FSC-klagomål mail.docx", "A 5861-2021")</f>
        <v/>
      </c>
      <c r="X34">
        <f>HYPERLINK("https://klasma.github.io/Logging_0834/tillsyn/A 5861-2021 tillsynsbegäran.docx", "A 5861-2021")</f>
        <v/>
      </c>
      <c r="Y34">
        <f>HYPERLINK("https://klasma.github.io/Logging_0834/tillsynsmail/A 5861-2021 tillsynsbegäran mail.docx", "A 5861-2021")</f>
        <v/>
      </c>
    </row>
    <row r="35" ht="15" customHeight="1">
      <c r="A35" t="inlineStr">
        <is>
          <t>A 11221-2021</t>
        </is>
      </c>
      <c r="B35" s="1" t="n">
        <v>44263</v>
      </c>
      <c r="C35" s="1" t="n">
        <v>45781</v>
      </c>
      <c r="D35" t="inlineStr">
        <is>
          <t>KALMAR LÄN</t>
        </is>
      </c>
      <c r="E35" t="inlineStr">
        <is>
          <t>TORSÅS</t>
        </is>
      </c>
      <c r="G35" t="n">
        <v>6.7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Lungrot</t>
        </is>
      </c>
      <c r="S35">
        <f>HYPERLINK("https://klasma.github.io/Logging_0834/artfynd/A 11221-2021 artfynd.xlsx", "A 11221-2021")</f>
        <v/>
      </c>
      <c r="T35">
        <f>HYPERLINK("https://klasma.github.io/Logging_0834/kartor/A 11221-2021 karta.png", "A 11221-2021")</f>
        <v/>
      </c>
      <c r="V35">
        <f>HYPERLINK("https://klasma.github.io/Logging_0834/klagomål/A 11221-2021 FSC-klagomål.docx", "A 11221-2021")</f>
        <v/>
      </c>
      <c r="W35">
        <f>HYPERLINK("https://klasma.github.io/Logging_0834/klagomålsmail/A 11221-2021 FSC-klagomål mail.docx", "A 11221-2021")</f>
        <v/>
      </c>
      <c r="X35">
        <f>HYPERLINK("https://klasma.github.io/Logging_0834/tillsyn/A 11221-2021 tillsynsbegäran.docx", "A 11221-2021")</f>
        <v/>
      </c>
      <c r="Y35">
        <f>HYPERLINK("https://klasma.github.io/Logging_0834/tillsynsmail/A 11221-2021 tillsynsbegäran mail.docx", "A 11221-2021")</f>
        <v/>
      </c>
    </row>
    <row r="36" ht="15" customHeight="1">
      <c r="A36" t="inlineStr">
        <is>
          <t>A 12295-2021</t>
        </is>
      </c>
      <c r="B36" s="1" t="n">
        <v>44267</v>
      </c>
      <c r="C36" s="1" t="n">
        <v>45781</v>
      </c>
      <c r="D36" t="inlineStr">
        <is>
          <t>KALMAR LÄN</t>
        </is>
      </c>
      <c r="E36" t="inlineStr">
        <is>
          <t>TORSÅS</t>
        </is>
      </c>
      <c r="G36" t="n">
        <v>12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HYPERLINK("https://klasma.github.io/Logging_0834/artfynd/A 12295-2021 artfynd.xlsx", "A 12295-2021")</f>
        <v/>
      </c>
      <c r="T36">
        <f>HYPERLINK("https://klasma.github.io/Logging_0834/kartor/A 12295-2021 karta.png", "A 12295-2021")</f>
        <v/>
      </c>
      <c r="V36">
        <f>HYPERLINK("https://klasma.github.io/Logging_0834/klagomål/A 12295-2021 FSC-klagomål.docx", "A 12295-2021")</f>
        <v/>
      </c>
      <c r="W36">
        <f>HYPERLINK("https://klasma.github.io/Logging_0834/klagomålsmail/A 12295-2021 FSC-klagomål mail.docx", "A 12295-2021")</f>
        <v/>
      </c>
      <c r="X36">
        <f>HYPERLINK("https://klasma.github.io/Logging_0834/tillsyn/A 12295-2021 tillsynsbegäran.docx", "A 12295-2021")</f>
        <v/>
      </c>
      <c r="Y36">
        <f>HYPERLINK("https://klasma.github.io/Logging_0834/tillsynsmail/A 12295-2021 tillsynsbegäran mail.docx", "A 12295-2021")</f>
        <v/>
      </c>
    </row>
    <row r="37" ht="15" customHeight="1">
      <c r="A37" t="inlineStr">
        <is>
          <t>A 49001-2021</t>
        </is>
      </c>
      <c r="B37" s="1" t="n">
        <v>44453</v>
      </c>
      <c r="C37" s="1" t="n">
        <v>45781</v>
      </c>
      <c r="D37" t="inlineStr">
        <is>
          <t>KALMAR LÄN</t>
        </is>
      </c>
      <c r="E37" t="inlineStr">
        <is>
          <t>TORSÅS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HYPERLINK("https://klasma.github.io/Logging_0834/artfynd/A 49001-2021 artfynd.xlsx", "A 49001-2021")</f>
        <v/>
      </c>
      <c r="T37">
        <f>HYPERLINK("https://klasma.github.io/Logging_0834/kartor/A 49001-2021 karta.png", "A 49001-2021")</f>
        <v/>
      </c>
      <c r="V37">
        <f>HYPERLINK("https://klasma.github.io/Logging_0834/klagomål/A 49001-2021 FSC-klagomål.docx", "A 49001-2021")</f>
        <v/>
      </c>
      <c r="W37">
        <f>HYPERLINK("https://klasma.github.io/Logging_0834/klagomålsmail/A 49001-2021 FSC-klagomål mail.docx", "A 49001-2021")</f>
        <v/>
      </c>
      <c r="X37">
        <f>HYPERLINK("https://klasma.github.io/Logging_0834/tillsyn/A 49001-2021 tillsynsbegäran.docx", "A 49001-2021")</f>
        <v/>
      </c>
      <c r="Y37">
        <f>HYPERLINK("https://klasma.github.io/Logging_0834/tillsynsmail/A 49001-2021 tillsynsbegäran mail.docx", "A 49001-2021")</f>
        <v/>
      </c>
    </row>
    <row r="38" ht="15" customHeight="1">
      <c r="A38" t="inlineStr">
        <is>
          <t>A 49410-2021</t>
        </is>
      </c>
      <c r="B38" s="1" t="n">
        <v>44454</v>
      </c>
      <c r="C38" s="1" t="n">
        <v>45781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HYPERLINK("https://klasma.github.io/Logging_0834/artfynd/A 49410-2021 artfynd.xlsx", "A 49410-2021")</f>
        <v/>
      </c>
      <c r="T38">
        <f>HYPERLINK("https://klasma.github.io/Logging_0834/kartor/A 49410-2021 karta.png", "A 49410-2021")</f>
        <v/>
      </c>
      <c r="V38">
        <f>HYPERLINK("https://klasma.github.io/Logging_0834/klagomål/A 49410-2021 FSC-klagomål.docx", "A 49410-2021")</f>
        <v/>
      </c>
      <c r="W38">
        <f>HYPERLINK("https://klasma.github.io/Logging_0834/klagomålsmail/A 49410-2021 FSC-klagomål mail.docx", "A 49410-2021")</f>
        <v/>
      </c>
      <c r="X38">
        <f>HYPERLINK("https://klasma.github.io/Logging_0834/tillsyn/A 49410-2021 tillsynsbegäran.docx", "A 49410-2021")</f>
        <v/>
      </c>
      <c r="Y38">
        <f>HYPERLINK("https://klasma.github.io/Logging_0834/tillsynsmail/A 49410-2021 tillsynsbegäran mail.docx", "A 49410-2021")</f>
        <v/>
      </c>
    </row>
    <row r="39" ht="15" customHeight="1">
      <c r="A39" t="inlineStr">
        <is>
          <t>A 831-2022</t>
        </is>
      </c>
      <c r="B39" s="1" t="n">
        <v>44571</v>
      </c>
      <c r="C39" s="1" t="n">
        <v>45781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HYPERLINK("https://klasma.github.io/Logging_0834/artfynd/A 831-2022 artfynd.xlsx", "A 831-2022")</f>
        <v/>
      </c>
      <c r="T39">
        <f>HYPERLINK("https://klasma.github.io/Logging_0834/kartor/A 831-2022 karta.png", "A 831-2022")</f>
        <v/>
      </c>
      <c r="U39">
        <f>HYPERLINK("https://klasma.github.io/Logging_0834/knärot/A 831-2022 karta knärot.png", "A 831-2022")</f>
        <v/>
      </c>
      <c r="V39">
        <f>HYPERLINK("https://klasma.github.io/Logging_0834/klagomål/A 831-2022 FSC-klagomål.docx", "A 831-2022")</f>
        <v/>
      </c>
      <c r="W39">
        <f>HYPERLINK("https://klasma.github.io/Logging_0834/klagomålsmail/A 831-2022 FSC-klagomål mail.docx", "A 831-2022")</f>
        <v/>
      </c>
      <c r="X39">
        <f>HYPERLINK("https://klasma.github.io/Logging_0834/tillsyn/A 831-2022 tillsynsbegäran.docx", "A 831-2022")</f>
        <v/>
      </c>
      <c r="Y39">
        <f>HYPERLINK("https://klasma.github.io/Logging_0834/tillsynsmail/A 831-2022 tillsynsbegäran mail.docx", "A 831-2022")</f>
        <v/>
      </c>
    </row>
    <row r="40" ht="15" customHeight="1">
      <c r="A40" t="inlineStr">
        <is>
          <t>A 5755-2022</t>
        </is>
      </c>
      <c r="B40" s="1" t="n">
        <v>44596</v>
      </c>
      <c r="C40" s="1" t="n">
        <v>45781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Åkerkål</t>
        </is>
      </c>
      <c r="S40">
        <f>HYPERLINK("https://klasma.github.io/Logging_0834/artfynd/A 5755-2022 artfynd.xlsx", "A 5755-2022")</f>
        <v/>
      </c>
      <c r="T40">
        <f>HYPERLINK("https://klasma.github.io/Logging_0834/kartor/A 5755-2022 karta.png", "A 5755-2022")</f>
        <v/>
      </c>
      <c r="V40">
        <f>HYPERLINK("https://klasma.github.io/Logging_0834/klagomål/A 5755-2022 FSC-klagomål.docx", "A 5755-2022")</f>
        <v/>
      </c>
      <c r="W40">
        <f>HYPERLINK("https://klasma.github.io/Logging_0834/klagomålsmail/A 5755-2022 FSC-klagomål mail.docx", "A 5755-2022")</f>
        <v/>
      </c>
      <c r="X40">
        <f>HYPERLINK("https://klasma.github.io/Logging_0834/tillsyn/A 5755-2022 tillsynsbegäran.docx", "A 5755-2022")</f>
        <v/>
      </c>
      <c r="Y40">
        <f>HYPERLINK("https://klasma.github.io/Logging_0834/tillsynsmail/A 5755-2022 tillsynsbegäran mail.docx", "A 5755-2022")</f>
        <v/>
      </c>
    </row>
    <row r="41" ht="15" customHeight="1">
      <c r="A41" t="inlineStr">
        <is>
          <t>A 36625-2022</t>
        </is>
      </c>
      <c r="B41" s="1" t="n">
        <v>44804</v>
      </c>
      <c r="C41" s="1" t="n">
        <v>45781</v>
      </c>
      <c r="D41" t="inlineStr">
        <is>
          <t>KALMAR LÄN</t>
        </is>
      </c>
      <c r="E41" t="inlineStr">
        <is>
          <t>TORSÅS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HYPERLINK("https://klasma.github.io/Logging_0834/artfynd/A 36625-2022 artfynd.xlsx", "A 36625-2022")</f>
        <v/>
      </c>
      <c r="T41">
        <f>HYPERLINK("https://klasma.github.io/Logging_0834/kartor/A 36625-2022 karta.png", "A 36625-2022")</f>
        <v/>
      </c>
      <c r="V41">
        <f>HYPERLINK("https://klasma.github.io/Logging_0834/klagomål/A 36625-2022 FSC-klagomål.docx", "A 36625-2022")</f>
        <v/>
      </c>
      <c r="W41">
        <f>HYPERLINK("https://klasma.github.io/Logging_0834/klagomålsmail/A 36625-2022 FSC-klagomål mail.docx", "A 36625-2022")</f>
        <v/>
      </c>
      <c r="X41">
        <f>HYPERLINK("https://klasma.github.io/Logging_0834/tillsyn/A 36625-2022 tillsynsbegäran.docx", "A 36625-2022")</f>
        <v/>
      </c>
      <c r="Y41">
        <f>HYPERLINK("https://klasma.github.io/Logging_0834/tillsynsmail/A 36625-2022 tillsynsbegäran mail.docx", "A 36625-2022")</f>
        <v/>
      </c>
    </row>
    <row r="42" ht="15" customHeight="1">
      <c r="A42" t="inlineStr">
        <is>
          <t>A 9688-2023</t>
        </is>
      </c>
      <c r="B42" s="1" t="n">
        <v>44984</v>
      </c>
      <c r="C42" s="1" t="n">
        <v>45781</v>
      </c>
      <c r="D42" t="inlineStr">
        <is>
          <t>KALMAR LÄN</t>
        </is>
      </c>
      <c r="E42" t="inlineStr">
        <is>
          <t>TORSÅS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HYPERLINK("https://klasma.github.io/Logging_0834/artfynd/A 9688-2023 artfynd.xlsx", "A 9688-2023")</f>
        <v/>
      </c>
      <c r="T42">
        <f>HYPERLINK("https://klasma.github.io/Logging_0834/kartor/A 9688-2023 karta.png", "A 9688-2023")</f>
        <v/>
      </c>
      <c r="V42">
        <f>HYPERLINK("https://klasma.github.io/Logging_0834/klagomål/A 9688-2023 FSC-klagomål.docx", "A 9688-2023")</f>
        <v/>
      </c>
      <c r="W42">
        <f>HYPERLINK("https://klasma.github.io/Logging_0834/klagomålsmail/A 9688-2023 FSC-klagomål mail.docx", "A 9688-2023")</f>
        <v/>
      </c>
      <c r="X42">
        <f>HYPERLINK("https://klasma.github.io/Logging_0834/tillsyn/A 9688-2023 tillsynsbegäran.docx", "A 9688-2023")</f>
        <v/>
      </c>
      <c r="Y42">
        <f>HYPERLINK("https://klasma.github.io/Logging_0834/tillsynsmail/A 9688-2023 tillsynsbegäran mail.docx", "A 9688-2023")</f>
        <v/>
      </c>
    </row>
    <row r="43" ht="15" customHeight="1">
      <c r="A43" t="inlineStr">
        <is>
          <t>A 15376-2023</t>
        </is>
      </c>
      <c r="B43" s="1" t="n">
        <v>45019</v>
      </c>
      <c r="C43" s="1" t="n">
        <v>45781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HYPERLINK("https://klasma.github.io/Logging_0834/artfynd/A 15376-2023 artfynd.xlsx", "A 15376-2023")</f>
        <v/>
      </c>
      <c r="T43">
        <f>HYPERLINK("https://klasma.github.io/Logging_0834/kartor/A 15376-2023 karta.png", "A 15376-2023")</f>
        <v/>
      </c>
      <c r="V43">
        <f>HYPERLINK("https://klasma.github.io/Logging_0834/klagomål/A 15376-2023 FSC-klagomål.docx", "A 15376-2023")</f>
        <v/>
      </c>
      <c r="W43">
        <f>HYPERLINK("https://klasma.github.io/Logging_0834/klagomålsmail/A 15376-2023 FSC-klagomål mail.docx", "A 15376-2023")</f>
        <v/>
      </c>
      <c r="X43">
        <f>HYPERLINK("https://klasma.github.io/Logging_0834/tillsyn/A 15376-2023 tillsynsbegäran.docx", "A 15376-2023")</f>
        <v/>
      </c>
      <c r="Y43">
        <f>HYPERLINK("https://klasma.github.io/Logging_0834/tillsynsmail/A 15376-2023 tillsynsbegäran mail.docx", "A 15376-2023")</f>
        <v/>
      </c>
    </row>
    <row r="44" ht="15" customHeight="1">
      <c r="A44" t="inlineStr">
        <is>
          <t>A 24157-2023</t>
        </is>
      </c>
      <c r="B44" s="1" t="n">
        <v>45079</v>
      </c>
      <c r="C44" s="1" t="n">
        <v>45781</v>
      </c>
      <c r="D44" t="inlineStr">
        <is>
          <t>KALMAR LÄN</t>
        </is>
      </c>
      <c r="E44" t="inlineStr">
        <is>
          <t>TORSÅS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HYPERLINK("https://klasma.github.io/Logging_0834/artfynd/A 24157-2023 artfynd.xlsx", "A 24157-2023")</f>
        <v/>
      </c>
      <c r="T44">
        <f>HYPERLINK("https://klasma.github.io/Logging_0834/kartor/A 24157-2023 karta.png", "A 24157-2023")</f>
        <v/>
      </c>
      <c r="V44">
        <f>HYPERLINK("https://klasma.github.io/Logging_0834/klagomål/A 24157-2023 FSC-klagomål.docx", "A 24157-2023")</f>
        <v/>
      </c>
      <c r="W44">
        <f>HYPERLINK("https://klasma.github.io/Logging_0834/klagomålsmail/A 24157-2023 FSC-klagomål mail.docx", "A 24157-2023")</f>
        <v/>
      </c>
      <c r="X44">
        <f>HYPERLINK("https://klasma.github.io/Logging_0834/tillsyn/A 24157-2023 tillsynsbegäran.docx", "A 24157-2023")</f>
        <v/>
      </c>
      <c r="Y44">
        <f>HYPERLINK("https://klasma.github.io/Logging_0834/tillsynsmail/A 24157-2023 tillsynsbegäran mail.docx", "A 24157-2023")</f>
        <v/>
      </c>
    </row>
    <row r="45" ht="15" customHeight="1">
      <c r="A45" t="inlineStr">
        <is>
          <t>A 28456-2023</t>
        </is>
      </c>
      <c r="B45" s="1" t="n">
        <v>45103</v>
      </c>
      <c r="C45" s="1" t="n">
        <v>45781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HYPERLINK("https://klasma.github.io/Logging_0834/artfynd/A 28456-2023 artfynd.xlsx", "A 28456-2023")</f>
        <v/>
      </c>
      <c r="T45">
        <f>HYPERLINK("https://klasma.github.io/Logging_0834/kartor/A 28456-2023 karta.png", "A 28456-2023")</f>
        <v/>
      </c>
      <c r="V45">
        <f>HYPERLINK("https://klasma.github.io/Logging_0834/klagomål/A 28456-2023 FSC-klagomål.docx", "A 28456-2023")</f>
        <v/>
      </c>
      <c r="W45">
        <f>HYPERLINK("https://klasma.github.io/Logging_0834/klagomålsmail/A 28456-2023 FSC-klagomål mail.docx", "A 28456-2023")</f>
        <v/>
      </c>
      <c r="X45">
        <f>HYPERLINK("https://klasma.github.io/Logging_0834/tillsyn/A 28456-2023 tillsynsbegäran.docx", "A 28456-2023")</f>
        <v/>
      </c>
      <c r="Y45">
        <f>HYPERLINK("https://klasma.github.io/Logging_0834/tillsynsmail/A 28456-2023 tillsynsbegäran mail.docx", "A 28456-2023")</f>
        <v/>
      </c>
    </row>
    <row r="46" ht="15" customHeight="1">
      <c r="A46" t="inlineStr">
        <is>
          <t>A 37161-2023</t>
        </is>
      </c>
      <c r="B46" s="1" t="n">
        <v>45155</v>
      </c>
      <c r="C46" s="1" t="n">
        <v>45781</v>
      </c>
      <c r="D46" t="inlineStr">
        <is>
          <t>KALMAR LÄN</t>
        </is>
      </c>
      <c r="E46" t="inlineStr">
        <is>
          <t>TORSÅS</t>
        </is>
      </c>
      <c r="G46" t="n">
        <v>8.699999999999999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HYPERLINK("https://klasma.github.io/Logging_0834/artfynd/A 37161-2023 artfynd.xlsx", "A 37161-2023")</f>
        <v/>
      </c>
      <c r="T46">
        <f>HYPERLINK("https://klasma.github.io/Logging_0834/kartor/A 37161-2023 karta.png", "A 37161-2023")</f>
        <v/>
      </c>
      <c r="V46">
        <f>HYPERLINK("https://klasma.github.io/Logging_0834/klagomål/A 37161-2023 FSC-klagomål.docx", "A 37161-2023")</f>
        <v/>
      </c>
      <c r="W46">
        <f>HYPERLINK("https://klasma.github.io/Logging_0834/klagomålsmail/A 37161-2023 FSC-klagomål mail.docx", "A 37161-2023")</f>
        <v/>
      </c>
      <c r="X46">
        <f>HYPERLINK("https://klasma.github.io/Logging_0834/tillsyn/A 37161-2023 tillsynsbegäran.docx", "A 37161-2023")</f>
        <v/>
      </c>
      <c r="Y46">
        <f>HYPERLINK("https://klasma.github.io/Logging_0834/tillsynsmail/A 37161-2023 tillsynsbegäran mail.docx", "A 37161-2023")</f>
        <v/>
      </c>
    </row>
    <row r="47" ht="15" customHeight="1">
      <c r="A47" t="inlineStr">
        <is>
          <t>A 46032-2023</t>
        </is>
      </c>
      <c r="B47" s="1" t="n">
        <v>45196</v>
      </c>
      <c r="C47" s="1" t="n">
        <v>45781</v>
      </c>
      <c r="D47" t="inlineStr">
        <is>
          <t>KALMAR LÄN</t>
        </is>
      </c>
      <c r="E47" t="inlineStr">
        <is>
          <t>TORSÅS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HYPERLINK("https://klasma.github.io/Logging_0834/artfynd/A 46032-2023 artfynd.xlsx", "A 46032-2023")</f>
        <v/>
      </c>
      <c r="T47">
        <f>HYPERLINK("https://klasma.github.io/Logging_0834/kartor/A 46032-2023 karta.png", "A 46032-2023")</f>
        <v/>
      </c>
      <c r="U47">
        <f>HYPERLINK("https://klasma.github.io/Logging_0834/knärot/A 46032-2023 karta knärot.png", "A 46032-2023")</f>
        <v/>
      </c>
      <c r="V47">
        <f>HYPERLINK("https://klasma.github.io/Logging_0834/klagomål/A 46032-2023 FSC-klagomål.docx", "A 46032-2023")</f>
        <v/>
      </c>
      <c r="W47">
        <f>HYPERLINK("https://klasma.github.io/Logging_0834/klagomålsmail/A 46032-2023 FSC-klagomål mail.docx", "A 46032-2023")</f>
        <v/>
      </c>
      <c r="X47">
        <f>HYPERLINK("https://klasma.github.io/Logging_0834/tillsyn/A 46032-2023 tillsynsbegäran.docx", "A 46032-2023")</f>
        <v/>
      </c>
      <c r="Y47">
        <f>HYPERLINK("https://klasma.github.io/Logging_0834/tillsynsmail/A 46032-2023 tillsynsbegäran mail.docx", "A 46032-2023")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45781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45781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45781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45781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45781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45781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45781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45781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45781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45781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45781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45781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45781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45781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45781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45781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45781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45781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45781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45781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45781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45781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45781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45781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45781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45781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45781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45781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45781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45781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45781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45781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45781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45781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45781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45781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45781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45781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45781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45781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45781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45781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45781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45781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45781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45781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45781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45781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45781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45781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45781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45781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45781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45781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45781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45781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45781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45781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45781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45781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45781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45781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45781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45781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45781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45781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45781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45781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45781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45781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45781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45781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45781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45781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45781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45781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45781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45781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45781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45781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45781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45781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45781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45781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45781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45781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45781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45781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45781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45781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45781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45781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45781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45781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45781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45781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45781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45781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45781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45781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45781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45781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45781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45781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45781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45781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45781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45781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45781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45781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45781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45781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45781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45781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45781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45781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45781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45781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45781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45781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45781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45781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45781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45781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45781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45781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45781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45781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45781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45781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45781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45781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45781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45781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45781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45781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45781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45781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45781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45781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45781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45781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45781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45781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45781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45781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45781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45781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45781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45781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45781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45781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45781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45781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45781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45781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45781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45781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45781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45781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45781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45781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45781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45781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45781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45781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45781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45781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45781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45781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45781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45781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45781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45781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45781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45781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45781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45781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45781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45781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45781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45781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45781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45781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45781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45781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45781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45781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45781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45781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45781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45781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45781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45781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45781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45781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45781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45781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45781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45781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45781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45781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45781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45781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45781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45781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45781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45781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45781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45781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45781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45781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45781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45781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45781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45781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45781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45781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45781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45781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45781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45781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45781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45781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45781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45781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45781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45781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45781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45781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45781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45781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45781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45781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45781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45781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45781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45781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45781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45781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45781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45781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45781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45781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45781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45781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45781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45781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45781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45781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45781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45781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45781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45781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45781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45781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45781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45781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45781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45781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45781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45781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45781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45781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45781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45781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45781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45781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45781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45781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45781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45781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45781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45781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45781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45781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45781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45781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45781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45781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45781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45781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45781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45781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45781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45781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45781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45781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45781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45781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45781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45781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45781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45781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45781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45781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45781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45781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45781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45781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45781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45781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45781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45781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45781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45781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45781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45781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45781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45781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45781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45781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45781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45781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45781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45781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45781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45781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45781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45781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45781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45781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45781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45781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45781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45781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45781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45781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45781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45781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45781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45781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45781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45781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45781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45781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45781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45781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45781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45781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45781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45781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45781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45781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45781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45781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45781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45781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45781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45781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45781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45781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45781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45781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45781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45781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45781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45781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45781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45781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45781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45781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45781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45781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45781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45781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45781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45781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45781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45781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45781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45781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45781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45781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45781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45781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45781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45781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45781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45781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45781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45781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45781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45781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45781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45781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45781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45781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45781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45781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45781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45781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45781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45781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45781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45781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45781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45781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45781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45781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45781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45781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45781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45781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45781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45781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45781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45781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45781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45781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45781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45781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45781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45781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45781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45781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45781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45781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45781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45781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45781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45781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45781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45781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45781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45781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45781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45781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45781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45781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45781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45781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45781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45781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45781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45781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45781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45781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45781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45781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45781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45781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45781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45781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45781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45781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45781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45781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45781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45781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45781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45781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45781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45781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45781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45781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45781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45781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45781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45781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45781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45781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45781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45781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45781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45781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45781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45781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45781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45781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45781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45781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45781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45781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45781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45781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45781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45781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45781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45781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45781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45781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45781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45781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45781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45781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45781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45781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45781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45781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45781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45781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45781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45781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45781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45781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45781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45781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45781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45781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45781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45781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45781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45781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45781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45781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45781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45781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45781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45781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45781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45781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45781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45781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45781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45781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45781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45781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45781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45781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45781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45781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45781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45781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45781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45781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45781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45781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45781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45781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45781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45781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45781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45781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45781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45781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45781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45781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45781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45781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45781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45781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45781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45781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45781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45781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45781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45781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45781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45781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45781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45781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45781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45781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45781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45781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45781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45781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45781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45781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45781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45781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45781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45781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45781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45781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45781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45781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45781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45781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45781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45781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45781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45781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45781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45781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45781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45781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45781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45781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45781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45781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45781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45781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45781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45781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45781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45781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45781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45781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45781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45781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45781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45781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45781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45781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45781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45781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45781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45781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45781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45781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45781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45781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45781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45781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45781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45781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45781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45781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45781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45781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45781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45781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45781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45781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45781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45781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45781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45781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45781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45781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45781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45781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45781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45781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45781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45781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45781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45781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45781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45781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45781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45781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45781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45781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45781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45781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45781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45781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45781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45781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45781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45781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45781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45781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45781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45781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45781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45781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45781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45781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45781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45781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45781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45781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45781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45781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45781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45781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45781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45781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45781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45781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45781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45781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45781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45781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45781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45781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45781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45781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45781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45781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45781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45781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45781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45781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45781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45781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45781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45781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45781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45781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45781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45781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45781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45781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45781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45781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45781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45781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45781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45781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45781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45781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45781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45781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45781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45781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45781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45781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45781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45781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45781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45781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45781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45781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45781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45781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45781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45781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45781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45781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45781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45781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45781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45781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45781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45781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45781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45781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45781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45781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45781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45781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45781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45781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45781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45781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45781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45781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45781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45781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45781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45781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45781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45781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45781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45781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45781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45781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45781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45781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45781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45781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45781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45781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45781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45781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45781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45781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45781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45781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45781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45781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45781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45781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45781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45781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45781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45781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45781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45781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45781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45781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45781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45781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45781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45781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45781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45781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45781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45781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45781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45781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45781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45781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45781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45781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45781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45781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45781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45781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45781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45781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45781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45781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45781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45781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45781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45781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45781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45781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45781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45781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45781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45781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45781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45781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45781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45781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45781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45781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45781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45781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45781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45781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45781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45781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45781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45781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45781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45781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45781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45781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45781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45781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45781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45781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45781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45781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45781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45781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45781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45781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45781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45781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45781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45781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45781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45781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45781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45781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45781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45781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45781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45781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45781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45781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45781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45781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45781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45781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45781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45781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45781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45781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45781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45781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45781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45781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45781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45781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45781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45781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45781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45781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45781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45781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45781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45781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45781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45781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45781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45781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45781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45781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45781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45781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45781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45781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45781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45781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45781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45781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45781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45781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45781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45781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45781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45781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45781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45781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45781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45781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45781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45781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45781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45781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45781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45781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45781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45781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45781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45781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45781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45781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45781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45781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45781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45781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45781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45781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45781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45781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45781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45781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45781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45781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45781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45781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45781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45781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45781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45781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45781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45781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45781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45781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45781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45781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45781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45781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45781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45781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45781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45781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45781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45781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45781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45781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45781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45781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45781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45781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45781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45781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45781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45781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45781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45781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45781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45781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45781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45781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45781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45781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45781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45781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45781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45781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45781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45781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45781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45781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45781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45781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45781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45781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45781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45781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45781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45781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45781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45781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45781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45781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45781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45781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45781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45781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45781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45781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45781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45781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45781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45781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45781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17723-2025</t>
        </is>
      </c>
      <c r="B1027" s="1" t="n">
        <v>45758</v>
      </c>
      <c r="C1027" s="1" t="n">
        <v>45781</v>
      </c>
      <c r="D1027" t="inlineStr">
        <is>
          <t>KALMAR LÄN</t>
        </is>
      </c>
      <c r="E1027" t="inlineStr">
        <is>
          <t>TORSÅS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45781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45781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45781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45781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19991-2025</t>
        </is>
      </c>
      <c r="B1032" s="1" t="n">
        <v>45771</v>
      </c>
      <c r="C1032" s="1" t="n">
        <v>45781</v>
      </c>
      <c r="D1032" t="inlineStr">
        <is>
          <t>KALMAR LÄN</t>
        </is>
      </c>
      <c r="E1032" t="inlineStr">
        <is>
          <t>TORSÅS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45781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20229-2025</t>
        </is>
      </c>
      <c r="B1034" s="1" t="n">
        <v>45772</v>
      </c>
      <c r="C1034" s="1" t="n">
        <v>45781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2025-05-04T21:23:43Z</dcterms:created>
  <dcterms:modified xmlns:dcterms="http://purl.org/dc/terms/" xmlns:xsi="http://www.w3.org/2001/XMLSchema-instance" xsi:type="dcterms:W3CDTF">2025-05-04T21:23:44Z</dcterms:modified>
</cp:coreProperties>
</file>