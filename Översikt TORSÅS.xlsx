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46303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46303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46303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46303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46303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46303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46303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46303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46303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46303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46303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46303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46303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46303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46303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46303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46303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46303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46303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44226-2024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45573</v>
      </c>
      <c r="E26" s="1" t="n">
        <v>46303</v>
      </c>
      <c r="F26" t="inlineStr">
        <is>
          <t>KALMAR LÄN</t>
        </is>
      </c>
      <c r="G26" t="inlineStr">
        <is>
          <t>TORSÅS</t>
        </is>
      </c>
      <c r="H26" t="inlineStr">
        <is>
          <t>Kommuner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HYPERLINK("https://klasma.github.io/Logging_0834/artfynd/A 44226-2024 artfynd.xlsx", "A 44226-2024")</f>
        <v/>
      </c>
      <c r="X26">
        <f>HYPERLINK("https://klasma.github.io/Logging_0834/kartor/A 44226-2024 karta.png", "A 44226-2024")</f>
        <v/>
      </c>
      <c r="Y26">
        <f>HYPERLINK("https://klasma.github.io/Logging_0834/kartor_geotiff/A 44226-2024 georefererad karta.tif", "A 44226-2024")</f>
        <v/>
      </c>
      <c r="AA26">
        <f>HYPERLINK("https://klasma.github.io/Logging_0834/klagomål/A 44226-2024 FSC-klagomål.docx", "A 44226-2024")</f>
        <v/>
      </c>
      <c r="AB26">
        <f>HYPERLINK("https://klasma.github.io/Logging_0834/klagomålsmail/A 44226-2024 FSC-klagomål mail.docx", "A 44226-2024")</f>
        <v/>
      </c>
      <c r="AC26">
        <f>HYPERLINK("https://klasma.github.io/Logging_0834/tillsyn/A 44226-2024 tillsynsbegäran.docx", "A 44226-2024")</f>
        <v/>
      </c>
      <c r="AD26">
        <f>HYPERLINK("https://klasma.github.io/Logging_0834/tillsynsmail/A 44226-2024 tillsynsbegäran mail.docx", "A 44226-2024")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46303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46303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46303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9688-2023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46303</v>
      </c>
      <c r="F30" t="inlineStr">
        <is>
          <t>KALMAR LÄN</t>
        </is>
      </c>
      <c r="G30" t="inlineStr">
        <is>
          <t>TORSÅS</t>
        </is>
      </c>
      <c r="I30" t="n">
        <v>3.3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Gullviva</t>
        </is>
      </c>
      <c r="W30">
        <f>HYPERLINK("https://klasma.github.io/Logging_0834/artfynd/A 9688-2023 artfynd.xlsx", "A 9688-2023")</f>
        <v/>
      </c>
      <c r="X30">
        <f>HYPERLINK("https://klasma.github.io/Logging_0834/kartor/A 9688-2023 karta.png", "A 9688-2023")</f>
        <v/>
      </c>
      <c r="Y30">
        <f>HYPERLINK("https://klasma.github.io/Logging_0834/kartor_geotiff/A 9688-2023 georefererad karta.tif", "A 9688-2023")</f>
        <v/>
      </c>
      <c r="AA30">
        <f>HYPERLINK("https://klasma.github.io/Logging_0834/klagomål/A 9688-2023 FSC-klagomål.docx", "A 9688-2023")</f>
        <v/>
      </c>
      <c r="AB30">
        <f>HYPERLINK("https://klasma.github.io/Logging_0834/klagomålsmail/A 9688-2023 FSC-klagomål mail.docx", "A 9688-2023")</f>
        <v/>
      </c>
      <c r="AC30">
        <f>HYPERLINK("https://klasma.github.io/Logging_0834/tillsyn/A 9688-2023 tillsynsbegäran.docx", "A 9688-2023")</f>
        <v/>
      </c>
      <c r="AD30">
        <f>HYPERLINK("https://klasma.github.io/Logging_0834/tillsynsmail/A 9688-2023 tillsynsbegäran mail.docx", "A 9688-2023")</f>
        <v/>
      </c>
    </row>
    <row r="31" ht="15" customHeight="1">
      <c r="A31" t="inlineStr">
        <is>
          <t>A 5755-2022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46303</v>
      </c>
      <c r="F31" t="inlineStr">
        <is>
          <t>KALMAR LÄN</t>
        </is>
      </c>
      <c r="G31" t="inlineStr">
        <is>
          <t>TORSÅS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HYPERLINK("https://klasma.github.io/Logging_0834/artfynd/A 5755-2022 artfynd.xlsx", "A 5755-2022")</f>
        <v/>
      </c>
      <c r="X31">
        <f>HYPERLINK("https://klasma.github.io/Logging_0834/kartor/A 5755-2022 karta.png", "A 5755-2022")</f>
        <v/>
      </c>
      <c r="Y31">
        <f>HYPERLINK("https://klasma.github.io/Logging_0834/kartor_geotiff/A 5755-2022 georefererad karta.tif", "A 5755-2022")</f>
        <v/>
      </c>
      <c r="AA31">
        <f>HYPERLINK("https://klasma.github.io/Logging_0834/klagomål/A 5755-2022 FSC-klagomål.docx", "A 5755-2022")</f>
        <v/>
      </c>
      <c r="AB31">
        <f>HYPERLINK("https://klasma.github.io/Logging_0834/klagomålsmail/A 5755-2022 FSC-klagomål mail.docx", "A 5755-2022")</f>
        <v/>
      </c>
      <c r="AC31">
        <f>HYPERLINK("https://klasma.github.io/Logging_0834/tillsyn/A 5755-2022 tillsynsbegäran.docx", "A 5755-2022")</f>
        <v/>
      </c>
      <c r="AD31">
        <f>HYPERLINK("https://klasma.github.io/Logging_0834/tillsynsmail/A 5755-2022 tillsynsbegäran mail.docx", "A 5755-2022")</f>
        <v/>
      </c>
    </row>
    <row r="32" ht="15" customHeight="1">
      <c r="A32" t="inlineStr">
        <is>
          <t>A 35769-2025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45860</v>
      </c>
      <c r="E32" s="1" t="n">
        <v>46303</v>
      </c>
      <c r="F32" t="inlineStr">
        <is>
          <t>KALMAR LÄN</t>
        </is>
      </c>
      <c r="G32" t="inlineStr">
        <is>
          <t>TORSÅS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Större brunfladdermus</t>
        </is>
      </c>
      <c r="W32">
        <f>HYPERLINK("https://klasma.github.io/Logging_0834/artfynd/A 35769-2025 artfynd.xlsx", "A 35769-2025")</f>
        <v/>
      </c>
      <c r="X32">
        <f>HYPERLINK("https://klasma.github.io/Logging_0834/kartor/A 35769-2025 karta.png", "A 35769-2025")</f>
        <v/>
      </c>
      <c r="Y32">
        <f>HYPERLINK("https://klasma.github.io/Logging_0834/kartor_geotiff/A 35769-2025 georefererad karta.tif", "A 35769-2025")</f>
        <v/>
      </c>
      <c r="AA32">
        <f>HYPERLINK("https://klasma.github.io/Logging_0834/klagomål/A 35769-2025 FSC-klagomål.docx", "A 35769-2025")</f>
        <v/>
      </c>
      <c r="AB32">
        <f>HYPERLINK("https://klasma.github.io/Logging_0834/klagomålsmail/A 35769-2025 FSC-klagomål mail.docx", "A 35769-2025")</f>
        <v/>
      </c>
      <c r="AC32">
        <f>HYPERLINK("https://klasma.github.io/Logging_0834/tillsyn/A 35769-2025 tillsynsbegäran.docx", "A 35769-2025")</f>
        <v/>
      </c>
      <c r="AD32">
        <f>HYPERLINK("https://klasma.github.io/Logging_0834/tillsynsmail/A 35769-2025 tillsynsbegäran mail.docx", "A 35769-2025")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46303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46303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36625-2022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44804</v>
      </c>
      <c r="E35" s="1" t="n">
        <v>46303</v>
      </c>
      <c r="F35" t="inlineStr">
        <is>
          <t>KALMAR LÄN</t>
        </is>
      </c>
      <c r="G35" t="inlineStr">
        <is>
          <t>TORSÅS</t>
        </is>
      </c>
      <c r="I35" t="n">
        <v>7.5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revmossa</t>
        </is>
      </c>
      <c r="W35">
        <f>HYPERLINK("https://klasma.github.io/Logging_0834/artfynd/A 36625-2022 artfynd.xlsx", "A 36625-2022")</f>
        <v/>
      </c>
      <c r="X35">
        <f>HYPERLINK("https://klasma.github.io/Logging_0834/kartor/A 36625-2022 karta.png", "A 36625-2022")</f>
        <v/>
      </c>
      <c r="Y35">
        <f>HYPERLINK("https://klasma.github.io/Logging_0834/kartor_geotiff/A 36625-2022 georefererad karta.tif", "A 36625-2022")</f>
        <v/>
      </c>
      <c r="AA35">
        <f>HYPERLINK("https://klasma.github.io/Logging_0834/klagomål/A 36625-2022 FSC-klagomål.docx", "A 36625-2022")</f>
        <v/>
      </c>
      <c r="AB35">
        <f>HYPERLINK("https://klasma.github.io/Logging_0834/klagomålsmail/A 36625-2022 FSC-klagomål mail.docx", "A 36625-2022")</f>
        <v/>
      </c>
      <c r="AC35">
        <f>HYPERLINK("https://klasma.github.io/Logging_0834/tillsyn/A 36625-2022 tillsynsbegäran.docx", "A 36625-2022")</f>
        <v/>
      </c>
      <c r="AD35">
        <f>HYPERLINK("https://klasma.github.io/Logging_0834/tillsynsmail/A 36625-2022 tillsynsbegäran mail.docx", "A 36625-2022")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46303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24157-2023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45079</v>
      </c>
      <c r="E37" s="1" t="n">
        <v>46303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Grovticka</t>
        </is>
      </c>
      <c r="W37">
        <f>HYPERLINK("https://klasma.github.io/Logging_0834/artfynd/A 24157-2023 artfynd.xlsx", "A 24157-2023")</f>
        <v/>
      </c>
      <c r="X37">
        <f>HYPERLINK("https://klasma.github.io/Logging_0834/kartor/A 24157-2023 karta.png", "A 24157-2023")</f>
        <v/>
      </c>
      <c r="Y37">
        <f>HYPERLINK("https://klasma.github.io/Logging_0834/kartor_geotiff/A 24157-2023 georefererad karta.tif", "A 24157-2023")</f>
        <v/>
      </c>
      <c r="AA37">
        <f>HYPERLINK("https://klasma.github.io/Logging_0834/klagomål/A 24157-2023 FSC-klagomål.docx", "A 24157-2023")</f>
        <v/>
      </c>
      <c r="AB37">
        <f>HYPERLINK("https://klasma.github.io/Logging_0834/klagomålsmail/A 24157-2023 FSC-klagomål mail.docx", "A 24157-2023")</f>
        <v/>
      </c>
      <c r="AC37">
        <f>HYPERLINK("https://klasma.github.io/Logging_0834/tillsyn/A 24157-2023 tillsynsbegäran.docx", "A 24157-2023")</f>
        <v/>
      </c>
      <c r="AD37">
        <f>HYPERLINK("https://klasma.github.io/Logging_0834/tillsynsmail/A 24157-2023 tillsynsbegäran mail.docx", "A 24157-2023")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46303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16467-2026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46303</v>
      </c>
      <c r="F39" t="inlineStr">
        <is>
          <t>KALMAR LÄN</t>
        </is>
      </c>
      <c r="G39" t="inlineStr">
        <is>
          <t>TORSÅS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HYPERLINK("https://klasma.github.io/Logging_0834/artfynd/A 16467-2026 artfynd.xlsx", "A 16467-2026")</f>
        <v/>
      </c>
      <c r="X39">
        <f>HYPERLINK("https://klasma.github.io/Logging_0834/kartor/A 16467-2026 karta.png", "A 16467-2026")</f>
        <v/>
      </c>
      <c r="Y39">
        <f>HYPERLINK("https://klasma.github.io/Logging_0834/kartor_geotiff/A 16467-2026 georefererad karta.tif", "A 16467-2026")</f>
        <v/>
      </c>
      <c r="AA39">
        <f>HYPERLINK("https://klasma.github.io/Logging_0834/klagomål/A 16467-2026 FSC-klagomål.docx", "A 16467-2026")</f>
        <v/>
      </c>
      <c r="AB39">
        <f>HYPERLINK("https://klasma.github.io/Logging_0834/klagomålsmail/A 16467-2026 FSC-klagomål mail.docx", "A 16467-2026")</f>
        <v/>
      </c>
      <c r="AC39">
        <f>HYPERLINK("https://klasma.github.io/Logging_0834/tillsyn/A 16467-2026 tillsynsbegäran.docx", "A 16467-2026")</f>
        <v/>
      </c>
      <c r="AD39">
        <f>HYPERLINK("https://klasma.github.io/Logging_0834/tillsynsmail/A 16467-2026 tillsynsbegäran mail.docx", "A 16467-2026")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46303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46303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35715-2026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46265</v>
      </c>
      <c r="E42" s="1" t="n">
        <v>46303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Gullviva</t>
        </is>
      </c>
      <c r="W42">
        <f>HYPERLINK("https://klasma.github.io/Logging_0834/artfynd/A 35715-2026 artfynd.xlsx", "A 35715-2026")</f>
        <v/>
      </c>
      <c r="X42">
        <f>HYPERLINK("https://klasma.github.io/Logging_0834/kartor/A 35715-2026 karta.png", "A 35715-2026")</f>
        <v/>
      </c>
      <c r="Y42">
        <f>HYPERLINK("https://klasma.github.io/Logging_0834/kartor_geotiff/A 35715-2026 georefererad karta.tif", "A 35715-2026")</f>
        <v/>
      </c>
      <c r="AA42">
        <f>HYPERLINK("https://klasma.github.io/Logging_0834/klagomål/A 35715-2026 FSC-klagomål.docx", "A 35715-2026")</f>
        <v/>
      </c>
      <c r="AB42">
        <f>HYPERLINK("https://klasma.github.io/Logging_0834/klagomålsmail/A 35715-2026 FSC-klagomål mail.docx", "A 35715-2026")</f>
        <v/>
      </c>
      <c r="AC42">
        <f>HYPERLINK("https://klasma.github.io/Logging_0834/tillsyn/A 35715-2026 tillsynsbegäran.docx", "A 35715-2026")</f>
        <v/>
      </c>
      <c r="AD42">
        <f>HYPERLINK("https://klasma.github.io/Logging_0834/tillsynsmail/A 35715-2026 tillsynsbegäran mail.docx", "A 35715-2026")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46303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46303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46303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46303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46303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46303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46303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46303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46303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46303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46303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46303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46303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46303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46303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46303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46303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46303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46303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46303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46303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46303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46303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46303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46303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44514</v>
      </c>
      <c r="E68" s="1" t="n">
        <v>46303</v>
      </c>
      <c r="F68" t="inlineStr">
        <is>
          <t>KALMAR LÄN</t>
        </is>
      </c>
      <c r="G68" t="inlineStr">
        <is>
          <t>TORSÅS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46303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44532</v>
      </c>
      <c r="E70" s="1" t="n">
        <v>46303</v>
      </c>
      <c r="F70" t="inlineStr">
        <is>
          <t>KALMAR LÄN</t>
        </is>
      </c>
      <c r="G70" t="inlineStr">
        <is>
          <t>TORSÅS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70317-2021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46303</v>
      </c>
      <c r="F71" t="inlineStr">
        <is>
          <t>KALMAR LÄN</t>
        </is>
      </c>
      <c r="G71" t="inlineStr">
        <is>
          <t>TORSÅS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46303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46303</v>
      </c>
      <c r="F73" t="inlineStr">
        <is>
          <t>KALMAR LÄN</t>
        </is>
      </c>
      <c r="G73" t="inlineStr">
        <is>
          <t>TORSÅS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46303</v>
      </c>
      <c r="F74" t="inlineStr">
        <is>
          <t>KALMAR LÄN</t>
        </is>
      </c>
      <c r="G74" t="inlineStr">
        <is>
          <t>TORSÅS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46303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45243</v>
      </c>
      <c r="E76" s="1" t="n">
        <v>46303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58768-2021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44489</v>
      </c>
      <c r="E77" s="1" t="n">
        <v>46303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46303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44580</v>
      </c>
      <c r="E79" s="1" t="n">
        <v>46303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46303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44988</v>
      </c>
      <c r="E81" s="1" t="n">
        <v>46303</v>
      </c>
      <c r="F81" t="inlineStr">
        <is>
          <t>KALMAR LÄN</t>
        </is>
      </c>
      <c r="G81" t="inlineStr">
        <is>
          <t>TORSÅS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46303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16409-2023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45029</v>
      </c>
      <c r="E83" s="1" t="n">
        <v>46303</v>
      </c>
      <c r="F83" t="inlineStr">
        <is>
          <t>KALMAR LÄN</t>
        </is>
      </c>
      <c r="G83" t="inlineStr">
        <is>
          <t>TORSÅS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28592-2022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44748</v>
      </c>
      <c r="E84" s="1" t="n">
        <v>46303</v>
      </c>
      <c r="F84" t="inlineStr">
        <is>
          <t>KALMAR LÄN</t>
        </is>
      </c>
      <c r="G84" t="inlineStr">
        <is>
          <t>TORSÅS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44839-2022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44841</v>
      </c>
      <c r="E85" s="1" t="n">
        <v>46303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46303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46303</v>
      </c>
      <c r="F87" t="inlineStr">
        <is>
          <t>KALMAR LÄN</t>
        </is>
      </c>
      <c r="G87" t="inlineStr">
        <is>
          <t>TORSÅS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46303</v>
      </c>
      <c r="F88" t="inlineStr">
        <is>
          <t>KALMAR LÄN</t>
        </is>
      </c>
      <c r="G88" t="inlineStr">
        <is>
          <t>TORSÅS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41566-2022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44827</v>
      </c>
      <c r="E89" s="1" t="n">
        <v>46303</v>
      </c>
      <c r="F89" t="inlineStr">
        <is>
          <t>KALMAR LÄN</t>
        </is>
      </c>
      <c r="G89" t="inlineStr">
        <is>
          <t>TORSÅS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45335</v>
      </c>
      <c r="E90" s="1" t="n">
        <v>46303</v>
      </c>
      <c r="F90" t="inlineStr">
        <is>
          <t>KALMAR LÄN</t>
        </is>
      </c>
      <c r="G90" t="inlineStr">
        <is>
          <t>TORSÅS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46303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46303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46303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46303</v>
      </c>
      <c r="F94" t="inlineStr">
        <is>
          <t>KALMAR LÄN</t>
        </is>
      </c>
      <c r="G94" t="inlineStr">
        <is>
          <t>TORSÅS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46303</v>
      </c>
      <c r="F95" t="inlineStr">
        <is>
          <t>KALMAR LÄN</t>
        </is>
      </c>
      <c r="G95" t="inlineStr">
        <is>
          <t>TORSÅS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46303</v>
      </c>
      <c r="F96" t="inlineStr">
        <is>
          <t>KALMAR LÄN</t>
        </is>
      </c>
      <c r="G96" t="inlineStr">
        <is>
          <t>TORSÅS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44795</v>
      </c>
      <c r="E97" s="1" t="n">
        <v>46303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46303</v>
      </c>
      <c r="F98" t="inlineStr">
        <is>
          <t>KALMAR LÄN</t>
        </is>
      </c>
      <c r="G98" t="inlineStr">
        <is>
          <t>TORSÅS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46303</v>
      </c>
      <c r="F99" t="inlineStr">
        <is>
          <t>KALMAR LÄN</t>
        </is>
      </c>
      <c r="G99" t="inlineStr">
        <is>
          <t>TORSÅS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46303</v>
      </c>
      <c r="F100" t="inlineStr">
        <is>
          <t>KALMAR LÄN</t>
        </is>
      </c>
      <c r="G100" t="inlineStr">
        <is>
          <t>TORSÅS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45323</v>
      </c>
      <c r="E101" s="1" t="n">
        <v>46303</v>
      </c>
      <c r="F101" t="inlineStr">
        <is>
          <t>KALMAR LÄN</t>
        </is>
      </c>
      <c r="G101" t="inlineStr">
        <is>
          <t>TORSÅS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46303</v>
      </c>
      <c r="F102" t="inlineStr">
        <is>
          <t>KALMAR LÄN</t>
        </is>
      </c>
      <c r="G102" t="inlineStr">
        <is>
          <t>TORSÅS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46303</v>
      </c>
      <c r="F103" t="inlineStr">
        <is>
          <t>KALMAR LÄN</t>
        </is>
      </c>
      <c r="G103" t="inlineStr">
        <is>
          <t>TORSÅS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46303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46303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46303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46303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46303</v>
      </c>
      <c r="F108" t="inlineStr">
        <is>
          <t>KALMAR LÄN</t>
        </is>
      </c>
      <c r="G108" t="inlineStr">
        <is>
          <t>TORSÅS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45583</v>
      </c>
      <c r="E109" s="1" t="n">
        <v>46303</v>
      </c>
      <c r="F109" t="inlineStr">
        <is>
          <t>KALMAR LÄN</t>
        </is>
      </c>
      <c r="G109" t="inlineStr">
        <is>
          <t>TORSÅS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45694</v>
      </c>
      <c r="E110" s="1" t="n">
        <v>46303</v>
      </c>
      <c r="F110" t="inlineStr">
        <is>
          <t>KALMAR LÄN</t>
        </is>
      </c>
      <c r="G110" t="inlineStr">
        <is>
          <t>TORSÅS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45474</v>
      </c>
      <c r="E111" s="1" t="n">
        <v>46303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46303</v>
      </c>
      <c r="F112" t="inlineStr">
        <is>
          <t>KALMAR LÄN</t>
        </is>
      </c>
      <c r="G112" t="inlineStr">
        <is>
          <t>TORSÅS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46303</v>
      </c>
      <c r="F113" t="inlineStr">
        <is>
          <t>KALMAR LÄN</t>
        </is>
      </c>
      <c r="G113" t="inlineStr">
        <is>
          <t>TORSÅS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46303</v>
      </c>
      <c r="F114" t="inlineStr">
        <is>
          <t>KALMAR LÄN</t>
        </is>
      </c>
      <c r="G114" t="inlineStr">
        <is>
          <t>TORSÅS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44725</v>
      </c>
      <c r="E115" s="1" t="n">
        <v>46303</v>
      </c>
      <c r="F115" t="inlineStr">
        <is>
          <t>KALMAR LÄN</t>
        </is>
      </c>
      <c r="G115" t="inlineStr">
        <is>
          <t>TORSÅS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46303</v>
      </c>
      <c r="F116" t="inlineStr">
        <is>
          <t>KALMAR LÄN</t>
        </is>
      </c>
      <c r="G116" t="inlineStr">
        <is>
          <t>TORSÅS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45474</v>
      </c>
      <c r="E117" s="1" t="n">
        <v>46303</v>
      </c>
      <c r="F117" t="inlineStr">
        <is>
          <t>KALMAR LÄN</t>
        </is>
      </c>
      <c r="G117" t="inlineStr">
        <is>
          <t>TORSÅS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46303</v>
      </c>
      <c r="F118" t="inlineStr">
        <is>
          <t>KALMAR LÄN</t>
        </is>
      </c>
      <c r="G118" t="inlineStr">
        <is>
          <t>TORSÅS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46303</v>
      </c>
      <c r="F119" t="inlineStr">
        <is>
          <t>KALMAR LÄN</t>
        </is>
      </c>
      <c r="G119" t="inlineStr">
        <is>
          <t>TORSÅS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45369</v>
      </c>
      <c r="E120" s="1" t="n">
        <v>46303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22232-2025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46303</v>
      </c>
      <c r="F121" t="inlineStr">
        <is>
          <t>KALMAR LÄN</t>
        </is>
      </c>
      <c r="G121" t="inlineStr">
        <is>
          <t>TORSÅS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46303</v>
      </c>
      <c r="F122" t="inlineStr">
        <is>
          <t>KALMAR LÄN</t>
        </is>
      </c>
      <c r="G122" t="inlineStr">
        <is>
          <t>TORSÅS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44679</v>
      </c>
      <c r="E123" s="1" t="n">
        <v>46303</v>
      </c>
      <c r="F123" t="inlineStr">
        <is>
          <t>KALMAR LÄN</t>
        </is>
      </c>
      <c r="G123" t="inlineStr">
        <is>
          <t>TORSÅS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46303</v>
      </c>
      <c r="F124" t="inlineStr">
        <is>
          <t>KALMAR LÄN</t>
        </is>
      </c>
      <c r="G124" t="inlineStr">
        <is>
          <t>TORSÅS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46303</v>
      </c>
      <c r="F125" t="inlineStr">
        <is>
          <t>KALMAR LÄN</t>
        </is>
      </c>
      <c r="G125" t="inlineStr">
        <is>
          <t>TORSÅS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60810-2022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46303</v>
      </c>
      <c r="F126" t="inlineStr">
        <is>
          <t>KALMAR LÄN</t>
        </is>
      </c>
      <c r="G126" t="inlineStr">
        <is>
          <t>TORSÅS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34956-2024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45527</v>
      </c>
      <c r="E127" s="1" t="n">
        <v>46303</v>
      </c>
      <c r="F127" t="inlineStr">
        <is>
          <t>KALMAR LÄN</t>
        </is>
      </c>
      <c r="G127" t="inlineStr">
        <is>
          <t>TORSÅS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46303</v>
      </c>
      <c r="F128" t="inlineStr">
        <is>
          <t>KALMAR LÄN</t>
        </is>
      </c>
      <c r="G128" t="inlineStr">
        <is>
          <t>TORSÅS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46303</v>
      </c>
      <c r="F129" t="inlineStr">
        <is>
          <t>KALMAR LÄN</t>
        </is>
      </c>
      <c r="G129" t="inlineStr">
        <is>
          <t>TORSÅS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46303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45665</v>
      </c>
      <c r="E131" s="1" t="n">
        <v>46303</v>
      </c>
      <c r="F131" t="inlineStr">
        <is>
          <t>KALMAR LÄN</t>
        </is>
      </c>
      <c r="G131" t="inlineStr">
        <is>
          <t>TORSÅS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56522-2022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44893</v>
      </c>
      <c r="E132" s="1" t="n">
        <v>46303</v>
      </c>
      <c r="F132" t="inlineStr">
        <is>
          <t>KALMAR LÄN</t>
        </is>
      </c>
      <c r="G132" t="inlineStr">
        <is>
          <t>TORSÅS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51607-2023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45222</v>
      </c>
      <c r="E133" s="1" t="n">
        <v>46303</v>
      </c>
      <c r="F133" t="inlineStr">
        <is>
          <t>KALMAR LÄN</t>
        </is>
      </c>
      <c r="G133" t="inlineStr">
        <is>
          <t>TORSÅS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58441-2023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45250</v>
      </c>
      <c r="E134" s="1" t="n">
        <v>46303</v>
      </c>
      <c r="F134" t="inlineStr">
        <is>
          <t>KALMAR LÄN</t>
        </is>
      </c>
      <c r="G134" t="inlineStr">
        <is>
          <t>TORSÅS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45327</v>
      </c>
      <c r="E135" s="1" t="n">
        <v>46303</v>
      </c>
      <c r="F135" t="inlineStr">
        <is>
          <t>KALMAR LÄN</t>
        </is>
      </c>
      <c r="G135" t="inlineStr">
        <is>
          <t>TORSÅS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41572-2022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44827</v>
      </c>
      <c r="E136" s="1" t="n">
        <v>46303</v>
      </c>
      <c r="F136" t="inlineStr">
        <is>
          <t>KALMAR LÄN</t>
        </is>
      </c>
      <c r="G136" t="inlineStr">
        <is>
          <t>TORSÅS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46303</v>
      </c>
      <c r="F137" t="inlineStr">
        <is>
          <t>KALMAR LÄN</t>
        </is>
      </c>
      <c r="G137" t="inlineStr">
        <is>
          <t>TORSÅS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46303</v>
      </c>
      <c r="F138" t="inlineStr">
        <is>
          <t>KALMAR LÄN</t>
        </is>
      </c>
      <c r="G138" t="inlineStr">
        <is>
          <t>TORSÅS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46303</v>
      </c>
      <c r="F139" t="inlineStr">
        <is>
          <t>KALMAR LÄN</t>
        </is>
      </c>
      <c r="G139" t="inlineStr">
        <is>
          <t>TORSÅS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46303</v>
      </c>
      <c r="F140" t="inlineStr">
        <is>
          <t>KALMAR LÄN</t>
        </is>
      </c>
      <c r="G140" t="inlineStr">
        <is>
          <t>TORSÅS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41452-2022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44826</v>
      </c>
      <c r="E141" s="1" t="n">
        <v>46303</v>
      </c>
      <c r="F141" t="inlineStr">
        <is>
          <t>KALMAR LÄN</t>
        </is>
      </c>
      <c r="G141" t="inlineStr">
        <is>
          <t>TORSÅS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46303</v>
      </c>
      <c r="F142" t="inlineStr">
        <is>
          <t>KALMAR LÄN</t>
        </is>
      </c>
      <c r="G142" t="inlineStr">
        <is>
          <t>TORSÅS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45798</v>
      </c>
      <c r="E143" s="1" t="n">
        <v>46303</v>
      </c>
      <c r="F143" t="inlineStr">
        <is>
          <t>KALMAR LÄN</t>
        </is>
      </c>
      <c r="G143" t="inlineStr">
        <is>
          <t>TORSÅS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46303</v>
      </c>
      <c r="F144" t="inlineStr">
        <is>
          <t>KALMAR LÄN</t>
        </is>
      </c>
      <c r="G144" t="inlineStr">
        <is>
          <t>TORSÅS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46303</v>
      </c>
      <c r="F145" t="inlineStr">
        <is>
          <t>KALMAR LÄN</t>
        </is>
      </c>
      <c r="G145" t="inlineStr">
        <is>
          <t>TORSÅS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44950</v>
      </c>
      <c r="E146" s="1" t="n">
        <v>46303</v>
      </c>
      <c r="F146" t="inlineStr">
        <is>
          <t>KALMAR LÄN</t>
        </is>
      </c>
      <c r="G146" t="inlineStr">
        <is>
          <t>TORSÅS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45618</v>
      </c>
      <c r="E147" s="1" t="n">
        <v>46303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46303</v>
      </c>
      <c r="F148" t="inlineStr">
        <is>
          <t>KALMAR LÄN</t>
        </is>
      </c>
      <c r="G148" t="inlineStr">
        <is>
          <t>TORSÅS</t>
        </is>
      </c>
      <c r="I148" t="n">
        <v>13.8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45798</v>
      </c>
      <c r="E149" s="1" t="n">
        <v>46303</v>
      </c>
      <c r="F149" t="inlineStr">
        <is>
          <t>KALMAR LÄN</t>
        </is>
      </c>
      <c r="G149" t="inlineStr">
        <is>
          <t>TORSÅS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46303</v>
      </c>
      <c r="F150" t="inlineStr">
        <is>
          <t>KALMAR LÄN</t>
        </is>
      </c>
      <c r="G150" t="inlineStr">
        <is>
          <t>TORSÅS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45329</v>
      </c>
      <c r="E151" s="1" t="n">
        <v>46303</v>
      </c>
      <c r="F151" t="inlineStr">
        <is>
          <t>KALMAR LÄN</t>
        </is>
      </c>
      <c r="G151" t="inlineStr">
        <is>
          <t>TORSÅS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45551</v>
      </c>
      <c r="E152" s="1" t="n">
        <v>46303</v>
      </c>
      <c r="F152" t="inlineStr">
        <is>
          <t>KALMAR LÄN</t>
        </is>
      </c>
      <c r="G152" t="inlineStr">
        <is>
          <t>TORSÅS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45488</v>
      </c>
      <c r="E153" s="1" t="n">
        <v>46303</v>
      </c>
      <c r="F153" t="inlineStr">
        <is>
          <t>KALMAR LÄN</t>
        </is>
      </c>
      <c r="G153" t="inlineStr">
        <is>
          <t>TORSÅS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46303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46303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46303</v>
      </c>
      <c r="F156" t="inlineStr">
        <is>
          <t>KALMAR LÄN</t>
        </is>
      </c>
      <c r="G156" t="inlineStr">
        <is>
          <t>TORSÅS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46303</v>
      </c>
      <c r="F157" t="inlineStr">
        <is>
          <t>KALMAR LÄN</t>
        </is>
      </c>
      <c r="G157" t="inlineStr">
        <is>
          <t>TORSÅS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46303</v>
      </c>
      <c r="F158" t="inlineStr">
        <is>
          <t>KALMAR LÄN</t>
        </is>
      </c>
      <c r="G158" t="inlineStr">
        <is>
          <t>TORSÅS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46303</v>
      </c>
      <c r="F159" t="inlineStr">
        <is>
          <t>KALMAR LÄN</t>
        </is>
      </c>
      <c r="G159" t="inlineStr">
        <is>
          <t>TORSÅS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46303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44942</v>
      </c>
      <c r="E161" s="1" t="n">
        <v>46303</v>
      </c>
      <c r="F161" t="inlineStr">
        <is>
          <t>KALMAR LÄN</t>
        </is>
      </c>
      <c r="G161" t="inlineStr">
        <is>
          <t>TORSÅS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44949</v>
      </c>
      <c r="E162" s="1" t="n">
        <v>46303</v>
      </c>
      <c r="F162" t="inlineStr">
        <is>
          <t>KALMAR LÄN</t>
        </is>
      </c>
      <c r="G162" t="inlineStr">
        <is>
          <t>TORSÅS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46303</v>
      </c>
      <c r="F163" t="inlineStr">
        <is>
          <t>KALMAR LÄN</t>
        </is>
      </c>
      <c r="G163" t="inlineStr">
        <is>
          <t>TORSÅS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46303</v>
      </c>
      <c r="F164" t="inlineStr">
        <is>
          <t>KALMAR LÄN</t>
        </is>
      </c>
      <c r="G164" t="inlineStr">
        <is>
          <t>TORSÅS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44790</v>
      </c>
      <c r="E165" s="1" t="n">
        <v>46303</v>
      </c>
      <c r="F165" t="inlineStr">
        <is>
          <t>KALMAR LÄN</t>
        </is>
      </c>
      <c r="G165" t="inlineStr">
        <is>
          <t>TORSÅS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46303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44712-2025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46303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45051</v>
      </c>
      <c r="E168" s="1" t="n">
        <v>46303</v>
      </c>
      <c r="F168" t="inlineStr">
        <is>
          <t>KALMAR LÄN</t>
        </is>
      </c>
      <c r="G168" t="inlineStr">
        <is>
          <t>TORSÅS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65651-2021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46303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43066-2024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45567</v>
      </c>
      <c r="E170" s="1" t="n">
        <v>46303</v>
      </c>
      <c r="F170" t="inlineStr">
        <is>
          <t>KALMAR LÄN</t>
        </is>
      </c>
      <c r="G170" t="inlineStr">
        <is>
          <t>TORSÅS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44943</v>
      </c>
      <c r="E171" s="1" t="n">
        <v>46303</v>
      </c>
      <c r="F171" t="inlineStr">
        <is>
          <t>KALMAR LÄN</t>
        </is>
      </c>
      <c r="G171" t="inlineStr">
        <is>
          <t>TORSÅS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46303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46303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46303</v>
      </c>
      <c r="F174" t="inlineStr">
        <is>
          <t>KALMAR LÄN</t>
        </is>
      </c>
      <c r="G174" t="inlineStr">
        <is>
          <t>TORSÅS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46303</v>
      </c>
      <c r="F175" t="inlineStr">
        <is>
          <t>KALMAR LÄN</t>
        </is>
      </c>
      <c r="G175" t="inlineStr">
        <is>
          <t>TORSÅS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28945-2025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45820</v>
      </c>
      <c r="E176" s="1" t="n">
        <v>46303</v>
      </c>
      <c r="F176" t="inlineStr">
        <is>
          <t>KALMAR LÄN</t>
        </is>
      </c>
      <c r="G176" t="inlineStr">
        <is>
          <t>TORSÅS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45925</v>
      </c>
      <c r="E177" s="1" t="n">
        <v>46303</v>
      </c>
      <c r="F177" t="inlineStr">
        <is>
          <t>KALMAR LÄN</t>
        </is>
      </c>
      <c r="G177" t="inlineStr">
        <is>
          <t>TORSÅS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68493-2021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44529</v>
      </c>
      <c r="E178" s="1" t="n">
        <v>46303</v>
      </c>
      <c r="F178" t="inlineStr">
        <is>
          <t>KALMAR LÄN</t>
        </is>
      </c>
      <c r="G178" t="inlineStr">
        <is>
          <t>TORSÅS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46303</v>
      </c>
      <c r="F179" t="inlineStr">
        <is>
          <t>KALMAR LÄN</t>
        </is>
      </c>
      <c r="G179" t="inlineStr">
        <is>
          <t>TORSÅS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10472-2023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44987</v>
      </c>
      <c r="E180" s="1" t="n">
        <v>46303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62101-2021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46303</v>
      </c>
      <c r="F181" t="inlineStr">
        <is>
          <t>KALMAR LÄN</t>
        </is>
      </c>
      <c r="G181" t="inlineStr">
        <is>
          <t>TORSÅS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45288</v>
      </c>
      <c r="E182" s="1" t="n">
        <v>46303</v>
      </c>
      <c r="F182" t="inlineStr">
        <is>
          <t>KALMAR LÄN</t>
        </is>
      </c>
      <c r="G182" t="inlineStr">
        <is>
          <t>TORSÅS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65159-2023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45288</v>
      </c>
      <c r="E183" s="1" t="n">
        <v>46303</v>
      </c>
      <c r="F183" t="inlineStr">
        <is>
          <t>KALMAR LÄN</t>
        </is>
      </c>
      <c r="G183" t="inlineStr">
        <is>
          <t>TORSÅS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46303</v>
      </c>
      <c r="F184" t="inlineStr">
        <is>
          <t>KALMAR LÄN</t>
        </is>
      </c>
      <c r="G184" t="inlineStr">
        <is>
          <t>TORSÅS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64348-2021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44511</v>
      </c>
      <c r="E185" s="1" t="n">
        <v>46303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44988</v>
      </c>
      <c r="E186" s="1" t="n">
        <v>46303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45016</v>
      </c>
      <c r="E187" s="1" t="n">
        <v>46303</v>
      </c>
      <c r="F187" t="inlineStr">
        <is>
          <t>KALMAR LÄN</t>
        </is>
      </c>
      <c r="G187" t="inlineStr">
        <is>
          <t>TORSÅS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8405-2024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45352</v>
      </c>
      <c r="E188" s="1" t="n">
        <v>46303</v>
      </c>
      <c r="F188" t="inlineStr">
        <is>
          <t>KALMAR LÄN</t>
        </is>
      </c>
      <c r="G188" t="inlineStr">
        <is>
          <t>TORSÅS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44881</v>
      </c>
      <c r="E189" s="1" t="n">
        <v>46303</v>
      </c>
      <c r="F189" t="inlineStr">
        <is>
          <t>KALMAR LÄN</t>
        </is>
      </c>
      <c r="G189" t="inlineStr">
        <is>
          <t>TORSÅS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44600</v>
      </c>
      <c r="E190" s="1" t="n">
        <v>46303</v>
      </c>
      <c r="F190" t="inlineStr">
        <is>
          <t>KALMAR LÄN</t>
        </is>
      </c>
      <c r="G190" t="inlineStr">
        <is>
          <t>TORSÅS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46303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32525-2024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45513</v>
      </c>
      <c r="E192" s="1" t="n">
        <v>46303</v>
      </c>
      <c r="F192" t="inlineStr">
        <is>
          <t>KALMAR LÄN</t>
        </is>
      </c>
      <c r="G192" t="inlineStr">
        <is>
          <t>TORSÅS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32532-2024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45513</v>
      </c>
      <c r="E193" s="1" t="n">
        <v>46303</v>
      </c>
      <c r="F193" t="inlineStr">
        <is>
          <t>KALMAR LÄN</t>
        </is>
      </c>
      <c r="G193" t="inlineStr">
        <is>
          <t>TORSÅS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45947</v>
      </c>
      <c r="E194" s="1" t="n">
        <v>46303</v>
      </c>
      <c r="F194" t="inlineStr">
        <is>
          <t>KALMAR LÄN</t>
        </is>
      </c>
      <c r="G194" t="inlineStr">
        <is>
          <t>TORSÅS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46303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46303</v>
      </c>
      <c r="F196" t="inlineStr">
        <is>
          <t>KALMAR LÄN</t>
        </is>
      </c>
      <c r="G196" t="inlineStr">
        <is>
          <t>TORSÅS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46303</v>
      </c>
      <c r="F197" t="inlineStr">
        <is>
          <t>KALMAR LÄN</t>
        </is>
      </c>
      <c r="G197" t="inlineStr">
        <is>
          <t>TORSÅS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12591-2022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44640</v>
      </c>
      <c r="E198" s="1" t="n">
        <v>46303</v>
      </c>
      <c r="F198" t="inlineStr">
        <is>
          <t>KALMAR LÄN</t>
        </is>
      </c>
      <c r="G198" t="inlineStr">
        <is>
          <t>TORSÅS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45734</v>
      </c>
      <c r="E199" s="1" t="n">
        <v>46303</v>
      </c>
      <c r="F199" t="inlineStr">
        <is>
          <t>KALMAR LÄN</t>
        </is>
      </c>
      <c r="G199" t="inlineStr">
        <is>
          <t>TORSÅS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45084</v>
      </c>
      <c r="E200" s="1" t="n">
        <v>46303</v>
      </c>
      <c r="F200" t="inlineStr">
        <is>
          <t>KALMAR LÄN</t>
        </is>
      </c>
      <c r="G200" t="inlineStr">
        <is>
          <t>TORSÅS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44967</v>
      </c>
      <c r="E201" s="1" t="n">
        <v>46303</v>
      </c>
      <c r="F201" t="inlineStr">
        <is>
          <t>KALMAR LÄN</t>
        </is>
      </c>
      <c r="G201" t="inlineStr">
        <is>
          <t>TORSÅS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45951</v>
      </c>
      <c r="E202" s="1" t="n">
        <v>46303</v>
      </c>
      <c r="F202" t="inlineStr">
        <is>
          <t>KALMAR LÄN</t>
        </is>
      </c>
      <c r="G202" t="inlineStr">
        <is>
          <t>TORSÅS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45330</v>
      </c>
      <c r="E203" s="1" t="n">
        <v>46303</v>
      </c>
      <c r="F203" t="inlineStr">
        <is>
          <t>KALMAR LÄN</t>
        </is>
      </c>
      <c r="G203" t="inlineStr">
        <is>
          <t>TORSÅS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45001</v>
      </c>
      <c r="E204" s="1" t="n">
        <v>46303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46303</v>
      </c>
      <c r="F205" t="inlineStr">
        <is>
          <t>KALMAR LÄN</t>
        </is>
      </c>
      <c r="G205" t="inlineStr">
        <is>
          <t>TORSÅS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45546</v>
      </c>
      <c r="E206" s="1" t="n">
        <v>46303</v>
      </c>
      <c r="F206" t="inlineStr">
        <is>
          <t>KALMAR LÄN</t>
        </is>
      </c>
      <c r="G206" t="inlineStr">
        <is>
          <t>TORSÅS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46303</v>
      </c>
      <c r="F207" t="inlineStr">
        <is>
          <t>KALMAR LÄN</t>
        </is>
      </c>
      <c r="G207" t="inlineStr">
        <is>
          <t>TORSÅS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46303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46303</v>
      </c>
      <c r="F209" t="inlineStr">
        <is>
          <t>KALMAR LÄN</t>
        </is>
      </c>
      <c r="G209" t="inlineStr">
        <is>
          <t>TORSÅS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46303</v>
      </c>
      <c r="F210" t="inlineStr">
        <is>
          <t>KALMAR LÄN</t>
        </is>
      </c>
      <c r="G210" t="inlineStr">
        <is>
          <t>TORSÅS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46303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70315-2021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44536</v>
      </c>
      <c r="E212" s="1" t="n">
        <v>46303</v>
      </c>
      <c r="F212" t="inlineStr">
        <is>
          <t>KALMAR LÄN</t>
        </is>
      </c>
      <c r="G212" t="inlineStr">
        <is>
          <t>TORSÅS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45860</v>
      </c>
      <c r="E213" s="1" t="n">
        <v>46303</v>
      </c>
      <c r="F213" t="inlineStr">
        <is>
          <t>KALMAR LÄN</t>
        </is>
      </c>
      <c r="G213" t="inlineStr">
        <is>
          <t>TORSÅS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45869</v>
      </c>
      <c r="E214" s="1" t="n">
        <v>46303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45869</v>
      </c>
      <c r="E215" s="1" t="n">
        <v>46303</v>
      </c>
      <c r="F215" t="inlineStr">
        <is>
          <t>KALMAR LÄN</t>
        </is>
      </c>
      <c r="G215" t="inlineStr">
        <is>
          <t>TORSÅS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50675-2024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45601</v>
      </c>
      <c r="E216" s="1" t="n">
        <v>46303</v>
      </c>
      <c r="F216" t="inlineStr">
        <is>
          <t>KALMAR LÄN</t>
        </is>
      </c>
      <c r="G216" t="inlineStr">
        <is>
          <t>TORSÅS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45869</v>
      </c>
      <c r="E217" s="1" t="n">
        <v>46303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46303</v>
      </c>
      <c r="F218" t="inlineStr">
        <is>
          <t>KALMAR LÄN</t>
        </is>
      </c>
      <c r="G218" t="inlineStr">
        <is>
          <t>TORSÅS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46303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46303</v>
      </c>
      <c r="F220" t="inlineStr">
        <is>
          <t>KALMAR LÄN</t>
        </is>
      </c>
      <c r="G220" t="inlineStr">
        <is>
          <t>TORSÅS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46303</v>
      </c>
      <c r="F221" t="inlineStr">
        <is>
          <t>KALMAR LÄN</t>
        </is>
      </c>
      <c r="G221" t="inlineStr">
        <is>
          <t>TORSÅS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37626-2025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45880</v>
      </c>
      <c r="E222" s="1" t="n">
        <v>46303</v>
      </c>
      <c r="F222" t="inlineStr">
        <is>
          <t>KALMAR LÄN</t>
        </is>
      </c>
      <c r="G222" t="inlineStr">
        <is>
          <t>TORSÅS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46303</v>
      </c>
      <c r="F223" t="inlineStr">
        <is>
          <t>KALMAR LÄN</t>
        </is>
      </c>
      <c r="G223" t="inlineStr">
        <is>
          <t>TORSÅS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46622-2024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45583</v>
      </c>
      <c r="E224" s="1" t="n">
        <v>46303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45063</v>
      </c>
      <c r="E225" s="1" t="n">
        <v>46303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46303</v>
      </c>
      <c r="F226" t="inlineStr">
        <is>
          <t>KALMAR LÄN</t>
        </is>
      </c>
      <c r="G226" t="inlineStr">
        <is>
          <t>TORSÅS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46303</v>
      </c>
      <c r="F227" t="inlineStr">
        <is>
          <t>KALMAR LÄN</t>
        </is>
      </c>
      <c r="G227" t="inlineStr">
        <is>
          <t>TORSÅS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45027</v>
      </c>
      <c r="E228" s="1" t="n">
        <v>46303</v>
      </c>
      <c r="F228" t="inlineStr">
        <is>
          <t>KALMAR LÄN</t>
        </is>
      </c>
      <c r="G228" t="inlineStr">
        <is>
          <t>TORSÅS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46303</v>
      </c>
      <c r="F229" t="inlineStr">
        <is>
          <t>KALMAR LÄN</t>
        </is>
      </c>
      <c r="G229" t="inlineStr">
        <is>
          <t>TORSÅS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44998</v>
      </c>
      <c r="E230" s="1" t="n">
        <v>46303</v>
      </c>
      <c r="F230" t="inlineStr">
        <is>
          <t>KALMAR LÄN</t>
        </is>
      </c>
      <c r="G230" t="inlineStr">
        <is>
          <t>TORSÅS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45556-2023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45194</v>
      </c>
      <c r="E231" s="1" t="n">
        <v>46303</v>
      </c>
      <c r="F231" t="inlineStr">
        <is>
          <t>KALMAR LÄN</t>
        </is>
      </c>
      <c r="G231" t="inlineStr">
        <is>
          <t>TORSÅS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45050</v>
      </c>
      <c r="E232" s="1" t="n">
        <v>46303</v>
      </c>
      <c r="F232" t="inlineStr">
        <is>
          <t>KALMAR LÄN</t>
        </is>
      </c>
      <c r="G232" t="inlineStr">
        <is>
          <t>TORSÅS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46303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8512-2022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44613</v>
      </c>
      <c r="E234" s="1" t="n">
        <v>46303</v>
      </c>
      <c r="F234" t="inlineStr">
        <is>
          <t>KALMAR LÄN</t>
        </is>
      </c>
      <c r="G234" t="inlineStr">
        <is>
          <t>TORSÅS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46303</v>
      </c>
      <c r="F235" t="inlineStr">
        <is>
          <t>KALMAR LÄN</t>
        </is>
      </c>
      <c r="G235" t="inlineStr">
        <is>
          <t>TORSÅS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46303</v>
      </c>
      <c r="F236" t="inlineStr">
        <is>
          <t>KALMAR LÄN</t>
        </is>
      </c>
      <c r="G236" t="inlineStr">
        <is>
          <t>TORSÅS</t>
        </is>
      </c>
      <c r="I236" t="n">
        <v>15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8618-2026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46303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45426</v>
      </c>
      <c r="E238" s="1" t="n">
        <v>46303</v>
      </c>
      <c r="F238" t="inlineStr">
        <is>
          <t>KALMAR LÄN</t>
        </is>
      </c>
      <c r="G238" t="inlineStr">
        <is>
          <t>TORSÅS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46303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45208</v>
      </c>
      <c r="E240" s="1" t="n">
        <v>46303</v>
      </c>
      <c r="F240" t="inlineStr">
        <is>
          <t>KALMAR LÄN</t>
        </is>
      </c>
      <c r="G240" t="inlineStr">
        <is>
          <t>TORSÅS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46303</v>
      </c>
      <c r="F241" t="inlineStr">
        <is>
          <t>KALMAR LÄN</t>
        </is>
      </c>
      <c r="G241" t="inlineStr">
        <is>
          <t>TORSÅS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46303</v>
      </c>
      <c r="F242" t="inlineStr">
        <is>
          <t>KALMAR LÄN</t>
        </is>
      </c>
      <c r="G242" t="inlineStr">
        <is>
          <t>TORSÅS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46303</v>
      </c>
      <c r="F243" t="inlineStr">
        <is>
          <t>KALMAR LÄN</t>
        </is>
      </c>
      <c r="G243" t="inlineStr">
        <is>
          <t>TORSÅS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44861</v>
      </c>
      <c r="E244" s="1" t="n">
        <v>46303</v>
      </c>
      <c r="F244" t="inlineStr">
        <is>
          <t>KALMAR LÄN</t>
        </is>
      </c>
      <c r="G244" t="inlineStr">
        <is>
          <t>TORSÅS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45196</v>
      </c>
      <c r="E245" s="1" t="n">
        <v>46303</v>
      </c>
      <c r="F245" t="inlineStr">
        <is>
          <t>KALMAR LÄN</t>
        </is>
      </c>
      <c r="G245" t="inlineStr">
        <is>
          <t>TORSÅS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46303</v>
      </c>
      <c r="F246" t="inlineStr">
        <is>
          <t>KALMAR LÄN</t>
        </is>
      </c>
      <c r="G246" t="inlineStr">
        <is>
          <t>TORSÅS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23776-2022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46303</v>
      </c>
      <c r="F247" t="inlineStr">
        <is>
          <t>KALMAR LÄN</t>
        </is>
      </c>
      <c r="G247" t="inlineStr">
        <is>
          <t>TORSÅS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45271</v>
      </c>
      <c r="E248" s="1" t="n">
        <v>46303</v>
      </c>
      <c r="F248" t="inlineStr">
        <is>
          <t>KALMAR LÄN</t>
        </is>
      </c>
      <c r="G248" t="inlineStr">
        <is>
          <t>TORSÅS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46303</v>
      </c>
      <c r="F249" t="inlineStr">
        <is>
          <t>KALMAR LÄN</t>
        </is>
      </c>
      <c r="G249" t="inlineStr">
        <is>
          <t>TORSÅS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45690-2023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45195</v>
      </c>
      <c r="E250" s="1" t="n">
        <v>46303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59130-2025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45988</v>
      </c>
      <c r="E251" s="1" t="n">
        <v>46303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46146</v>
      </c>
      <c r="E252" s="1" t="n">
        <v>46303</v>
      </c>
      <c r="F252" t="inlineStr">
        <is>
          <t>KALMAR LÄN</t>
        </is>
      </c>
      <c r="G252" t="inlineStr">
        <is>
          <t>TORSÅS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44998</v>
      </c>
      <c r="E253" s="1" t="n">
        <v>46303</v>
      </c>
      <c r="F253" t="inlineStr">
        <is>
          <t>KALMAR LÄN</t>
        </is>
      </c>
      <c r="G253" t="inlineStr">
        <is>
          <t>TORSÅS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46303</v>
      </c>
      <c r="F254" t="inlineStr">
        <is>
          <t>KALMAR LÄN</t>
        </is>
      </c>
      <c r="G254" t="inlineStr">
        <is>
          <t>TORSÅS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46303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45908</v>
      </c>
      <c r="E256" s="1" t="n">
        <v>46303</v>
      </c>
      <c r="F256" t="inlineStr">
        <is>
          <t>KALMAR LÄN</t>
        </is>
      </c>
      <c r="G256" t="inlineStr">
        <is>
          <t>TORSÅS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58804-2023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46303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45614</v>
      </c>
      <c r="E258" s="1" t="n">
        <v>46303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44958</v>
      </c>
      <c r="E259" s="1" t="n">
        <v>46303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60055-2021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44495</v>
      </c>
      <c r="E260" s="1" t="n">
        <v>46303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45250</v>
      </c>
      <c r="E261" s="1" t="n">
        <v>46303</v>
      </c>
      <c r="F261" t="inlineStr">
        <is>
          <t>KALMAR LÄN</t>
        </is>
      </c>
      <c r="G261" t="inlineStr">
        <is>
          <t>TORSÅS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46303</v>
      </c>
      <c r="F262" t="inlineStr">
        <is>
          <t>KALMAR LÄN</t>
        </is>
      </c>
      <c r="G262" t="inlineStr">
        <is>
          <t>TORSÅS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46303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46303</v>
      </c>
      <c r="F264" t="inlineStr">
        <is>
          <t>KALMAR LÄN</t>
        </is>
      </c>
      <c r="G264" t="inlineStr">
        <is>
          <t>TORSÅS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46303</v>
      </c>
      <c r="F265" t="inlineStr">
        <is>
          <t>KALMAR LÄN</t>
        </is>
      </c>
      <c r="G265" t="inlineStr">
        <is>
          <t>TORSÅS</t>
        </is>
      </c>
      <c r="H265" t="inlineStr">
        <is>
          <t>Övriga Aktiebolag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42909-2023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45182</v>
      </c>
      <c r="E266" s="1" t="n">
        <v>46303</v>
      </c>
      <c r="F266" t="inlineStr">
        <is>
          <t>KALMAR LÄN</t>
        </is>
      </c>
      <c r="G266" t="inlineStr">
        <is>
          <t>TORSÅS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46303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46303</v>
      </c>
      <c r="F268" t="inlineStr">
        <is>
          <t>KALMAR LÄN</t>
        </is>
      </c>
      <c r="G268" t="inlineStr">
        <is>
          <t>TORSÅS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46303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46303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45194</v>
      </c>
      <c r="E271" s="1" t="n">
        <v>46303</v>
      </c>
      <c r="F271" t="inlineStr">
        <is>
          <t>KALMAR LÄN</t>
        </is>
      </c>
      <c r="G271" t="inlineStr">
        <is>
          <t>TORSÅS</t>
        </is>
      </c>
      <c r="H271" t="inlineStr">
        <is>
          <t>Kommuner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46303</v>
      </c>
      <c r="F272" t="inlineStr">
        <is>
          <t>KALMAR LÄN</t>
        </is>
      </c>
      <c r="G272" t="inlineStr">
        <is>
          <t>TORSÅS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46303</v>
      </c>
      <c r="F273" t="inlineStr">
        <is>
          <t>KALMAR LÄN</t>
        </is>
      </c>
      <c r="G273" t="inlineStr">
        <is>
          <t>TORSÅS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46303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46303</v>
      </c>
      <c r="F275" t="inlineStr">
        <is>
          <t>KALMAR LÄN</t>
        </is>
      </c>
      <c r="G275" t="inlineStr">
        <is>
          <t>TORSÅS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46303</v>
      </c>
      <c r="F276" t="inlineStr">
        <is>
          <t>KALMAR LÄN</t>
        </is>
      </c>
      <c r="G276" t="inlineStr">
        <is>
          <t>TORSÅS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46303</v>
      </c>
      <c r="F277" t="inlineStr">
        <is>
          <t>KALMAR LÄN</t>
        </is>
      </c>
      <c r="G277" t="inlineStr">
        <is>
          <t>TORSÅS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46303</v>
      </c>
      <c r="F278" t="inlineStr">
        <is>
          <t>KALMAR LÄN</t>
        </is>
      </c>
      <c r="G278" t="inlineStr">
        <is>
          <t>TORSÅS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45798</v>
      </c>
      <c r="E279" s="1" t="n">
        <v>46303</v>
      </c>
      <c r="F279" t="inlineStr">
        <is>
          <t>KALMAR LÄN</t>
        </is>
      </c>
      <c r="G279" t="inlineStr">
        <is>
          <t>TORSÅS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45178</v>
      </c>
      <c r="E280" s="1" t="n">
        <v>46303</v>
      </c>
      <c r="F280" t="inlineStr">
        <is>
          <t>KALMAR LÄN</t>
        </is>
      </c>
      <c r="G280" t="inlineStr">
        <is>
          <t>TORSÅS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45716</v>
      </c>
      <c r="E281" s="1" t="n">
        <v>46303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26491-2022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44739</v>
      </c>
      <c r="E282" s="1" t="n">
        <v>46303</v>
      </c>
      <c r="F282" t="inlineStr">
        <is>
          <t>KALMAR LÄN</t>
        </is>
      </c>
      <c r="G282" t="inlineStr">
        <is>
          <t>TORSÅS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45252</v>
      </c>
      <c r="E283" s="1" t="n">
        <v>46303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60742-2023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46303</v>
      </c>
      <c r="F284" t="inlineStr">
        <is>
          <t>KALMAR LÄN</t>
        </is>
      </c>
      <c r="G284" t="inlineStr">
        <is>
          <t>TORSÅS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46303</v>
      </c>
      <c r="F285" t="inlineStr">
        <is>
          <t>KALMAR LÄN</t>
        </is>
      </c>
      <c r="G285" t="inlineStr">
        <is>
          <t>TORSÅS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45790</v>
      </c>
      <c r="E286" s="1" t="n">
        <v>46303</v>
      </c>
      <c r="F286" t="inlineStr">
        <is>
          <t>KALMAR LÄN</t>
        </is>
      </c>
      <c r="G286" t="inlineStr">
        <is>
          <t>TORSÅS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46303</v>
      </c>
      <c r="F287" t="inlineStr">
        <is>
          <t>KALMAR LÄN</t>
        </is>
      </c>
      <c r="G287" t="inlineStr">
        <is>
          <t>TORSÅS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65157-2023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45288</v>
      </c>
      <c r="E288" s="1" t="n">
        <v>46303</v>
      </c>
      <c r="F288" t="inlineStr">
        <is>
          <t>KALMAR LÄN</t>
        </is>
      </c>
      <c r="G288" t="inlineStr">
        <is>
          <t>TORSÅS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44984</v>
      </c>
      <c r="E289" s="1" t="n">
        <v>46303</v>
      </c>
      <c r="F289" t="inlineStr">
        <is>
          <t>KALMAR LÄN</t>
        </is>
      </c>
      <c r="G289" t="inlineStr">
        <is>
          <t>TORSÅS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44776</v>
      </c>
      <c r="E290" s="1" t="n">
        <v>46303</v>
      </c>
      <c r="F290" t="inlineStr">
        <is>
          <t>KALMAR LÄN</t>
        </is>
      </c>
      <c r="G290" t="inlineStr">
        <is>
          <t>TORSÅS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46303</v>
      </c>
      <c r="F291" t="inlineStr">
        <is>
          <t>KALMAR LÄN</t>
        </is>
      </c>
      <c r="G291" t="inlineStr">
        <is>
          <t>TORSÅS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51263-2023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45219</v>
      </c>
      <c r="E292" s="1" t="n">
        <v>46303</v>
      </c>
      <c r="F292" t="inlineStr">
        <is>
          <t>KALMAR LÄN</t>
        </is>
      </c>
      <c r="G292" t="inlineStr">
        <is>
          <t>TORSÅS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46303</v>
      </c>
      <c r="F293" t="inlineStr">
        <is>
          <t>KALMAR LÄN</t>
        </is>
      </c>
      <c r="G293" t="inlineStr">
        <is>
          <t>TORSÅS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45219</v>
      </c>
      <c r="E294" s="1" t="n">
        <v>46303</v>
      </c>
      <c r="F294" t="inlineStr">
        <is>
          <t>KALMAR LÄN</t>
        </is>
      </c>
      <c r="G294" t="inlineStr">
        <is>
          <t>TORSÅS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46303</v>
      </c>
      <c r="F295" t="inlineStr">
        <is>
          <t>KALMAR LÄN</t>
        </is>
      </c>
      <c r="G295" t="inlineStr">
        <is>
          <t>TORSÅS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21577-2022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44706</v>
      </c>
      <c r="E296" s="1" t="n">
        <v>46303</v>
      </c>
      <c r="F296" t="inlineStr">
        <is>
          <t>KALMAR LÄN</t>
        </is>
      </c>
      <c r="G296" t="inlineStr">
        <is>
          <t>TORSÅS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44985</v>
      </c>
      <c r="E297" s="1" t="n">
        <v>46303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25072-2026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46174</v>
      </c>
      <c r="E298" s="1" t="n">
        <v>46303</v>
      </c>
      <c r="F298" t="inlineStr">
        <is>
          <t>KALMAR LÄN</t>
        </is>
      </c>
      <c r="G298" t="inlineStr">
        <is>
          <t>TORSÅS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46303</v>
      </c>
      <c r="F299" t="inlineStr">
        <is>
          <t>KALMAR LÄN</t>
        </is>
      </c>
      <c r="G299" t="inlineStr">
        <is>
          <t>TORSÅS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44694</v>
      </c>
      <c r="E300" s="1" t="n">
        <v>46303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17819-2022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44683</v>
      </c>
      <c r="E301" s="1" t="n">
        <v>46303</v>
      </c>
      <c r="F301" t="inlineStr">
        <is>
          <t>KALMAR LÄN</t>
        </is>
      </c>
      <c r="G301" t="inlineStr">
        <is>
          <t>TORSÅS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17820-2022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44683</v>
      </c>
      <c r="E302" s="1" t="n">
        <v>46303</v>
      </c>
      <c r="F302" t="inlineStr">
        <is>
          <t>KALMAR LÄN</t>
        </is>
      </c>
      <c r="G302" t="inlineStr">
        <is>
          <t>TORSÅS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45330</v>
      </c>
      <c r="E303" s="1" t="n">
        <v>46303</v>
      </c>
      <c r="F303" t="inlineStr">
        <is>
          <t>KALMAR LÄN</t>
        </is>
      </c>
      <c r="G303" t="inlineStr">
        <is>
          <t>TORSÅS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39728-2024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45552</v>
      </c>
      <c r="E304" s="1" t="n">
        <v>46303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46303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46303</v>
      </c>
      <c r="F306" t="inlineStr">
        <is>
          <t>KALMAR LÄN</t>
        </is>
      </c>
      <c r="G306" t="inlineStr">
        <is>
          <t>TORSÅS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46303</v>
      </c>
      <c r="F307" t="inlineStr">
        <is>
          <t>KALMAR LÄN</t>
        </is>
      </c>
      <c r="G307" t="inlineStr">
        <is>
          <t>TORSÅS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46303</v>
      </c>
      <c r="F308" t="inlineStr">
        <is>
          <t>KALMAR LÄN</t>
        </is>
      </c>
      <c r="G308" t="inlineStr">
        <is>
          <t>TORSÅS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46303</v>
      </c>
      <c r="F309" t="inlineStr">
        <is>
          <t>KALMAR LÄN</t>
        </is>
      </c>
      <c r="G309" t="inlineStr">
        <is>
          <t>TORSÅS</t>
        </is>
      </c>
      <c r="I309" t="n">
        <v>19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46751-2022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44851</v>
      </c>
      <c r="E310" s="1" t="n">
        <v>46303</v>
      </c>
      <c r="F310" t="inlineStr">
        <is>
          <t>KALMAR LÄN</t>
        </is>
      </c>
      <c r="G310" t="inlineStr">
        <is>
          <t>TORSÅS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46303</v>
      </c>
      <c r="F311" t="inlineStr">
        <is>
          <t>KALMAR LÄN</t>
        </is>
      </c>
      <c r="G311" t="inlineStr">
        <is>
          <t>TORSÅS</t>
        </is>
      </c>
      <c r="H311" t="inlineStr">
        <is>
          <t>Övriga Aktiebolag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46303</v>
      </c>
      <c r="F312" t="inlineStr">
        <is>
          <t>KALMAR LÄN</t>
        </is>
      </c>
      <c r="G312" t="inlineStr">
        <is>
          <t>TORSÅS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46303</v>
      </c>
      <c r="F313" t="inlineStr">
        <is>
          <t>KALMAR LÄN</t>
        </is>
      </c>
      <c r="G313" t="inlineStr">
        <is>
          <t>TORSÅS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45145</v>
      </c>
      <c r="E314" s="1" t="n">
        <v>46303</v>
      </c>
      <c r="F314" t="inlineStr">
        <is>
          <t>KALMAR LÄN</t>
        </is>
      </c>
      <c r="G314" t="inlineStr">
        <is>
          <t>TORSÅS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6366-2023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46303</v>
      </c>
      <c r="F315" t="inlineStr">
        <is>
          <t>KALMAR LÄN</t>
        </is>
      </c>
      <c r="G315" t="inlineStr">
        <is>
          <t>TORSÅS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46303</v>
      </c>
      <c r="F316" t="inlineStr">
        <is>
          <t>KALMAR LÄN</t>
        </is>
      </c>
      <c r="G316" t="inlineStr">
        <is>
          <t>TORSÅS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46303</v>
      </c>
      <c r="F317" t="inlineStr">
        <is>
          <t>KALMAR LÄN</t>
        </is>
      </c>
      <c r="G317" t="inlineStr">
        <is>
          <t>TORSÅS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46303</v>
      </c>
      <c r="F318" t="inlineStr">
        <is>
          <t>KALMAR LÄN</t>
        </is>
      </c>
      <c r="G318" t="inlineStr">
        <is>
          <t>TORSÅS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45362</v>
      </c>
      <c r="E319" s="1" t="n">
        <v>46303</v>
      </c>
      <c r="F319" t="inlineStr">
        <is>
          <t>KALMAR LÄN</t>
        </is>
      </c>
      <c r="G319" t="inlineStr">
        <is>
          <t>TORSÅS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45362</v>
      </c>
      <c r="E320" s="1" t="n">
        <v>46303</v>
      </c>
      <c r="F320" t="inlineStr">
        <is>
          <t>KALMAR LÄN</t>
        </is>
      </c>
      <c r="G320" t="inlineStr">
        <is>
          <t>TORSÅS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44879</v>
      </c>
      <c r="E321" s="1" t="n">
        <v>46303</v>
      </c>
      <c r="F321" t="inlineStr">
        <is>
          <t>KALMAR LÄN</t>
        </is>
      </c>
      <c r="G321" t="inlineStr">
        <is>
          <t>TORSÅS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46303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46303</v>
      </c>
      <c r="F323" t="inlineStr">
        <is>
          <t>KALMAR LÄN</t>
        </is>
      </c>
      <c r="G323" t="inlineStr">
        <is>
          <t>TORSÅS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17223-2026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46303</v>
      </c>
      <c r="F324" t="inlineStr">
        <is>
          <t>KALMAR LÄN</t>
        </is>
      </c>
      <c r="G324" t="inlineStr">
        <is>
          <t>TORSÅS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46303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26714-2023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46303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23088-2023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45075</v>
      </c>
      <c r="E327" s="1" t="n">
        <v>46303</v>
      </c>
      <c r="F327" t="inlineStr">
        <is>
          <t>KALMAR LÄN</t>
        </is>
      </c>
      <c r="G327" t="inlineStr">
        <is>
          <t>TORSÅS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44977</v>
      </c>
      <c r="E328" s="1" t="n">
        <v>46303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44637</v>
      </c>
      <c r="E329" s="1" t="n">
        <v>46303</v>
      </c>
      <c r="F329" t="inlineStr">
        <is>
          <t>KALMAR LÄN</t>
        </is>
      </c>
      <c r="G329" t="inlineStr">
        <is>
          <t>TORSÅS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46303</v>
      </c>
      <c r="F330" t="inlineStr">
        <is>
          <t>KALMAR LÄN</t>
        </is>
      </c>
      <c r="G330" t="inlineStr">
        <is>
          <t>TORSÅS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45196</v>
      </c>
      <c r="E331" s="1" t="n">
        <v>46303</v>
      </c>
      <c r="F331" t="inlineStr">
        <is>
          <t>KALMAR LÄN</t>
        </is>
      </c>
      <c r="G331" t="inlineStr">
        <is>
          <t>TORSÅS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46303</v>
      </c>
      <c r="F332" t="inlineStr">
        <is>
          <t>KALMAR LÄN</t>
        </is>
      </c>
      <c r="G332" t="inlineStr">
        <is>
          <t>TORSÅS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46303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14937-2022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44657</v>
      </c>
      <c r="E334" s="1" t="n">
        <v>46303</v>
      </c>
      <c r="F334" t="inlineStr">
        <is>
          <t>KALMAR LÄN</t>
        </is>
      </c>
      <c r="G334" t="inlineStr">
        <is>
          <t>TORSÅS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46303</v>
      </c>
      <c r="F335" t="inlineStr">
        <is>
          <t>KALMAR LÄN</t>
        </is>
      </c>
      <c r="G335" t="inlineStr">
        <is>
          <t>TORSÅS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46203</v>
      </c>
      <c r="E336" s="1" t="n">
        <v>46303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52659-2024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45610</v>
      </c>
      <c r="E337" s="1" t="n">
        <v>46303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46303</v>
      </c>
      <c r="F338" t="inlineStr">
        <is>
          <t>KALMAR LÄN</t>
        </is>
      </c>
      <c r="G338" t="inlineStr">
        <is>
          <t>TORSÅS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44792</v>
      </c>
      <c r="E339" s="1" t="n">
        <v>46303</v>
      </c>
      <c r="F339" t="inlineStr">
        <is>
          <t>KALMAR LÄN</t>
        </is>
      </c>
      <c r="G339" t="inlineStr">
        <is>
          <t>TORSÅS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46303</v>
      </c>
      <c r="F340" t="inlineStr">
        <is>
          <t>KALMAR LÄN</t>
        </is>
      </c>
      <c r="G340" t="inlineStr">
        <is>
          <t>TORSÅS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46303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51610-2023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46303</v>
      </c>
      <c r="F342" t="inlineStr">
        <is>
          <t>KALMAR LÄN</t>
        </is>
      </c>
      <c r="G342" t="inlineStr">
        <is>
          <t>TORSÅS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46303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18045-2023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46303</v>
      </c>
      <c r="F344" t="inlineStr">
        <is>
          <t>KALMAR LÄN</t>
        </is>
      </c>
      <c r="G344" t="inlineStr">
        <is>
          <t>TORSÅS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49129-2023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46303</v>
      </c>
      <c r="F345" t="inlineStr">
        <is>
          <t>KALMAR LÄN</t>
        </is>
      </c>
      <c r="G345" t="inlineStr">
        <is>
          <t>TORSÅS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45253</v>
      </c>
      <c r="E346" s="1" t="n">
        <v>46303</v>
      </c>
      <c r="F346" t="inlineStr">
        <is>
          <t>KALMAR LÄN</t>
        </is>
      </c>
      <c r="G346" t="inlineStr">
        <is>
          <t>TORSÅS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18718-2024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45426</v>
      </c>
      <c r="E347" s="1" t="n">
        <v>46303</v>
      </c>
      <c r="F347" t="inlineStr">
        <is>
          <t>KALMAR LÄN</t>
        </is>
      </c>
      <c r="G347" t="inlineStr">
        <is>
          <t>TORSÅS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38847-2023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45163</v>
      </c>
      <c r="E348" s="1" t="n">
        <v>46303</v>
      </c>
      <c r="F348" t="inlineStr">
        <is>
          <t>KALMAR LÄN</t>
        </is>
      </c>
      <c r="G348" t="inlineStr">
        <is>
          <t>TORSÅS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45163</v>
      </c>
      <c r="E349" s="1" t="n">
        <v>46303</v>
      </c>
      <c r="F349" t="inlineStr">
        <is>
          <t>KALMAR LÄN</t>
        </is>
      </c>
      <c r="G349" t="inlineStr">
        <is>
          <t>TORSÅS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44593</v>
      </c>
      <c r="E350" s="1" t="n">
        <v>46303</v>
      </c>
      <c r="F350" t="inlineStr">
        <is>
          <t>KALMAR LÄN</t>
        </is>
      </c>
      <c r="G350" t="inlineStr">
        <is>
          <t>TORSÅS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46303</v>
      </c>
      <c r="F351" t="inlineStr">
        <is>
          <t>KALMAR LÄN</t>
        </is>
      </c>
      <c r="G351" t="inlineStr">
        <is>
          <t>TORSÅS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66543-2021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46303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46303</v>
      </c>
      <c r="F353" t="inlineStr">
        <is>
          <t>KALMAR LÄN</t>
        </is>
      </c>
      <c r="G353" t="inlineStr">
        <is>
          <t>TORSÅS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46303</v>
      </c>
      <c r="F354" t="inlineStr">
        <is>
          <t>KALMAR LÄN</t>
        </is>
      </c>
      <c r="G354" t="inlineStr">
        <is>
          <t>TORSÅS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59284-2021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46303</v>
      </c>
      <c r="F355" t="inlineStr">
        <is>
          <t>KALMAR LÄN</t>
        </is>
      </c>
      <c r="G355" t="inlineStr">
        <is>
          <t>TORSÅS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15421-2026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46303</v>
      </c>
      <c r="F356" t="inlineStr">
        <is>
          <t>KALMAR LÄN</t>
        </is>
      </c>
      <c r="G356" t="inlineStr">
        <is>
          <t>TORSÅS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46303</v>
      </c>
      <c r="F357" t="inlineStr">
        <is>
          <t>KALMAR LÄN</t>
        </is>
      </c>
      <c r="G357" t="inlineStr">
        <is>
          <t>TORSÅS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10926-2024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45370</v>
      </c>
      <c r="E358" s="1" t="n">
        <v>46303</v>
      </c>
      <c r="F358" t="inlineStr">
        <is>
          <t>KALMAR LÄN</t>
        </is>
      </c>
      <c r="G358" t="inlineStr">
        <is>
          <t>TORSÅS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52252-2023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46303</v>
      </c>
      <c r="F359" t="inlineStr">
        <is>
          <t>KALMAR LÄN</t>
        </is>
      </c>
      <c r="G359" t="inlineStr">
        <is>
          <t>TORSÅS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44949</v>
      </c>
      <c r="E360" s="1" t="n">
        <v>46303</v>
      </c>
      <c r="F360" t="inlineStr">
        <is>
          <t>KALMAR LÄN</t>
        </is>
      </c>
      <c r="G360" t="inlineStr">
        <is>
          <t>TORSÅS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45624</v>
      </c>
      <c r="E361" s="1" t="n">
        <v>46303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45139</v>
      </c>
      <c r="E362" s="1" t="n">
        <v>46303</v>
      </c>
      <c r="F362" t="inlineStr">
        <is>
          <t>KALMAR LÄN</t>
        </is>
      </c>
      <c r="G362" t="inlineStr">
        <is>
          <t>TORSÅS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46303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46218</v>
      </c>
      <c r="E364" s="1" t="n">
        <v>46303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46218</v>
      </c>
      <c r="E365" s="1" t="n">
        <v>46303</v>
      </c>
      <c r="F365" t="inlineStr">
        <is>
          <t>KALMAR LÄN</t>
        </is>
      </c>
      <c r="G365" t="inlineStr">
        <is>
          <t>TORSÅS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45058</v>
      </c>
      <c r="E366" s="1" t="n">
        <v>46303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46303</v>
      </c>
      <c r="F367" t="inlineStr">
        <is>
          <t>KALMAR LÄN</t>
        </is>
      </c>
      <c r="G367" t="inlineStr">
        <is>
          <t>TORSÅS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54741-2022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44883</v>
      </c>
      <c r="E368" s="1" t="n">
        <v>46303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46303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46303</v>
      </c>
      <c r="F370" t="inlineStr">
        <is>
          <t>KALMAR LÄN</t>
        </is>
      </c>
      <c r="G370" t="inlineStr">
        <is>
          <t>TORSÅS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46303</v>
      </c>
      <c r="F371" t="inlineStr">
        <is>
          <t>KALMAR LÄN</t>
        </is>
      </c>
      <c r="G371" t="inlineStr">
        <is>
          <t>TORSÅS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45695</v>
      </c>
      <c r="E372" s="1" t="n">
        <v>46303</v>
      </c>
      <c r="F372" t="inlineStr">
        <is>
          <t>KALMAR LÄN</t>
        </is>
      </c>
      <c r="G372" t="inlineStr">
        <is>
          <t>TORSÅS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46303</v>
      </c>
      <c r="F373" t="inlineStr">
        <is>
          <t>KALMAR LÄN</t>
        </is>
      </c>
      <c r="G373" t="inlineStr">
        <is>
          <t>TORSÅS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35725-2026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46265</v>
      </c>
      <c r="E374" s="1" t="n">
        <v>46303</v>
      </c>
      <c r="F374" t="inlineStr">
        <is>
          <t>KALMAR LÄN</t>
        </is>
      </c>
      <c r="G374" t="inlineStr">
        <is>
          <t>TORSÅS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46303</v>
      </c>
      <c r="F375" t="inlineStr">
        <is>
          <t>KALMAR LÄN</t>
        </is>
      </c>
      <c r="G375" t="inlineStr">
        <is>
          <t>TORSÅS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45425</v>
      </c>
      <c r="E376" s="1" t="n">
        <v>46303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46303</v>
      </c>
      <c r="F377" t="inlineStr">
        <is>
          <t>KALMAR LÄN</t>
        </is>
      </c>
      <c r="G377" t="inlineStr">
        <is>
          <t>TORSÅS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52072-2023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45223</v>
      </c>
      <c r="E378" s="1" t="n">
        <v>46303</v>
      </c>
      <c r="F378" t="inlineStr">
        <is>
          <t>KALMAR LÄN</t>
        </is>
      </c>
      <c r="G378" t="inlineStr">
        <is>
          <t>TORSÅS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45328</v>
      </c>
      <c r="E379" s="1" t="n">
        <v>46303</v>
      </c>
      <c r="F379" t="inlineStr">
        <is>
          <t>KALMAR LÄN</t>
        </is>
      </c>
      <c r="G379" t="inlineStr">
        <is>
          <t>TORSÅS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35729-2026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46265</v>
      </c>
      <c r="E380" s="1" t="n">
        <v>46303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42912-2023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46303</v>
      </c>
      <c r="F381" t="inlineStr">
        <is>
          <t>KALMAR LÄN</t>
        </is>
      </c>
      <c r="G381" t="inlineStr">
        <is>
          <t>TORSÅS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44671</v>
      </c>
      <c r="E382" s="1" t="n">
        <v>46303</v>
      </c>
      <c r="F382" t="inlineStr">
        <is>
          <t>KALMAR LÄN</t>
        </is>
      </c>
      <c r="G382" t="inlineStr">
        <is>
          <t>TORSÅS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46303</v>
      </c>
      <c r="F383" t="inlineStr">
        <is>
          <t>KALMAR LÄN</t>
        </is>
      </c>
      <c r="G383" t="inlineStr">
        <is>
          <t>TORSÅS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45036</v>
      </c>
      <c r="E384" s="1" t="n">
        <v>46303</v>
      </c>
      <c r="F384" t="inlineStr">
        <is>
          <t>KALMAR LÄN</t>
        </is>
      </c>
      <c r="G384" t="inlineStr">
        <is>
          <t>TORSÅS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46268</v>
      </c>
      <c r="E385" s="1" t="n">
        <v>46303</v>
      </c>
      <c r="F385" t="inlineStr">
        <is>
          <t>KALMAR LÄN</t>
        </is>
      </c>
      <c r="G385" t="inlineStr">
        <is>
          <t>TORSÅS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46303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45977</v>
      </c>
      <c r="E387" s="1" t="n">
        <v>46303</v>
      </c>
      <c r="F387" t="inlineStr">
        <is>
          <t>KALMAR LÄN</t>
        </is>
      </c>
      <c r="G387" t="inlineStr">
        <is>
          <t>TORSÅS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44949</v>
      </c>
      <c r="E388" s="1" t="n">
        <v>46303</v>
      </c>
      <c r="F388" t="inlineStr">
        <is>
          <t>KALMAR LÄN</t>
        </is>
      </c>
      <c r="G388" t="inlineStr">
        <is>
          <t>TORSÅS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22564-2024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45447</v>
      </c>
      <c r="E389" s="1" t="n">
        <v>46303</v>
      </c>
      <c r="F389" t="inlineStr">
        <is>
          <t>KALMAR LÄN</t>
        </is>
      </c>
      <c r="G389" t="inlineStr">
        <is>
          <t>TORSÅS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45518</v>
      </c>
      <c r="E390" s="1" t="n">
        <v>46303</v>
      </c>
      <c r="F390" t="inlineStr">
        <is>
          <t>KALMAR LÄN</t>
        </is>
      </c>
      <c r="G390" t="inlineStr">
        <is>
          <t>TORSÅS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46303</v>
      </c>
      <c r="F391" t="inlineStr">
        <is>
          <t>KALMAR LÄN</t>
        </is>
      </c>
      <c r="G391" t="inlineStr">
        <is>
          <t>TORSÅS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45736</v>
      </c>
      <c r="E392" s="1" t="n">
        <v>46303</v>
      </c>
      <c r="F392" t="inlineStr">
        <is>
          <t>KALMAR LÄN</t>
        </is>
      </c>
      <c r="G392" t="inlineStr">
        <is>
          <t>TORSÅS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51647-2023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45222</v>
      </c>
      <c r="E393" s="1" t="n">
        <v>46303</v>
      </c>
      <c r="F393" t="inlineStr">
        <is>
          <t>KALMAR LÄN</t>
        </is>
      </c>
      <c r="G393" t="inlineStr">
        <is>
          <t>TORSÅS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16263-2024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46303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45208</v>
      </c>
      <c r="E395" s="1" t="n">
        <v>46303</v>
      </c>
      <c r="F395" t="inlineStr">
        <is>
          <t>KALMAR LÄN</t>
        </is>
      </c>
      <c r="G395" t="inlineStr">
        <is>
          <t>TORSÅS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46303</v>
      </c>
      <c r="F396" t="inlineStr">
        <is>
          <t>KALMAR LÄN</t>
        </is>
      </c>
      <c r="G396" t="inlineStr">
        <is>
          <t>TORSÅS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45001</v>
      </c>
      <c r="E397" s="1" t="n">
        <v>46303</v>
      </c>
      <c r="F397" t="inlineStr">
        <is>
          <t>KALMAR LÄN</t>
        </is>
      </c>
      <c r="G397" t="inlineStr">
        <is>
          <t>TORSÅS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46303</v>
      </c>
      <c r="F398" t="inlineStr">
        <is>
          <t>KALMAR LÄN</t>
        </is>
      </c>
      <c r="G398" t="inlineStr">
        <is>
          <t>TORSÅS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46303</v>
      </c>
      <c r="F399" t="inlineStr">
        <is>
          <t>KALMAR LÄN</t>
        </is>
      </c>
      <c r="G399" t="inlineStr">
        <is>
          <t>TORSÅS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27268-2023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46303</v>
      </c>
      <c r="F400" t="inlineStr">
        <is>
          <t>KALMAR LÄN</t>
        </is>
      </c>
      <c r="G400" t="inlineStr">
        <is>
          <t>TORSÅS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46303</v>
      </c>
      <c r="F401" t="inlineStr">
        <is>
          <t>KALMAR LÄN</t>
        </is>
      </c>
      <c r="G401" t="inlineStr">
        <is>
          <t>TORSÅS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46278</v>
      </c>
      <c r="E402" s="1" t="n">
        <v>46303</v>
      </c>
      <c r="F402" t="inlineStr">
        <is>
          <t>KALMAR LÄN</t>
        </is>
      </c>
      <c r="G402" t="inlineStr">
        <is>
          <t>TORSÅS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46303</v>
      </c>
      <c r="F403" t="inlineStr">
        <is>
          <t>KALMAR LÄN</t>
        </is>
      </c>
      <c r="G403" t="inlineStr">
        <is>
          <t>TORSÅS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38807-2026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46286</v>
      </c>
      <c r="E404" s="1" t="n">
        <v>46303</v>
      </c>
      <c r="F404" t="inlineStr">
        <is>
          <t>KALMAR LÄN</t>
        </is>
      </c>
      <c r="G404" t="inlineStr">
        <is>
          <t>TORSÅS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46246</v>
      </c>
      <c r="E405" s="1" t="n">
        <v>46303</v>
      </c>
      <c r="F405" t="inlineStr">
        <is>
          <t>KALMAR LÄN</t>
        </is>
      </c>
      <c r="G405" t="inlineStr">
        <is>
          <t>TORSÅS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45982</v>
      </c>
      <c r="E406" s="1" t="n">
        <v>46303</v>
      </c>
      <c r="F406" t="inlineStr">
        <is>
          <t>KALMAR LÄN</t>
        </is>
      </c>
      <c r="G406" t="inlineStr">
        <is>
          <t>TORSÅS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11642-2026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46303</v>
      </c>
      <c r="F407" t="inlineStr">
        <is>
          <t>KALMAR LÄN</t>
        </is>
      </c>
      <c r="G407" t="inlineStr">
        <is>
          <t>TORSÅS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46293</v>
      </c>
      <c r="E408" s="1" t="n">
        <v>46303</v>
      </c>
      <c r="F408" t="inlineStr">
        <is>
          <t>KALMAR LÄN</t>
        </is>
      </c>
      <c r="G408" t="inlineStr">
        <is>
          <t>TORSÅS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46303</v>
      </c>
      <c r="F409" t="inlineStr">
        <is>
          <t>KALMAR LÄN</t>
        </is>
      </c>
      <c r="G409" t="inlineStr">
        <is>
          <t>TORSÅS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46303</v>
      </c>
      <c r="F410" t="inlineStr">
        <is>
          <t>KALMAR LÄN</t>
        </is>
      </c>
      <c r="G410" t="inlineStr">
        <is>
          <t>TORSÅS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41100-2026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46300</v>
      </c>
      <c r="E411" s="1" t="n">
        <v>46303</v>
      </c>
      <c r="F411" t="inlineStr">
        <is>
          <t>KALMAR LÄN</t>
        </is>
      </c>
      <c r="G411" t="inlineStr">
        <is>
          <t>TORSÅS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46253</v>
      </c>
      <c r="E412" s="1" t="n">
        <v>46303</v>
      </c>
      <c r="F412" t="inlineStr">
        <is>
          <t>KALMAR LÄN</t>
        </is>
      </c>
      <c r="G412" t="inlineStr">
        <is>
          <t>TORSÅS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46113</v>
      </c>
      <c r="E413" s="1" t="n">
        <v>46303</v>
      </c>
      <c r="F413" t="inlineStr">
        <is>
          <t>KALMAR LÄN</t>
        </is>
      </c>
      <c r="G413" t="inlineStr">
        <is>
          <t>TORSÅS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46303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41616-2026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46302</v>
      </c>
      <c r="E415" s="1" t="n">
        <v>46303</v>
      </c>
      <c r="F415" t="inlineStr">
        <is>
          <t>KALMAR LÄN</t>
        </is>
      </c>
      <c r="G415" t="inlineStr">
        <is>
          <t>TORSÅS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1824-2022</t>
        </is>
      </c>
      <c r="B416" t="inlineStr">
        <is>
          <t>samrådsanmälan</t>
        </is>
      </c>
      <c r="C416" t="inlineStr">
        <is>
          <t>Skogsbilväg</t>
        </is>
      </c>
      <c r="D416" s="1" t="n">
        <v>44658</v>
      </c>
      <c r="E416" s="1" t="n">
        <v>46303</v>
      </c>
      <c r="F416" t="inlineStr">
        <is>
          <t>KALMAR LÄN</t>
        </is>
      </c>
      <c r="G416" t="inlineStr">
        <is>
          <t>TORSÅS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3937-2023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45235</v>
      </c>
      <c r="E417" s="1" t="n">
        <v>46303</v>
      </c>
      <c r="F417" t="inlineStr">
        <is>
          <t>KALMAR LÄN</t>
        </is>
      </c>
      <c r="G417" t="inlineStr">
        <is>
          <t>TORSÅS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221-2024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45316</v>
      </c>
      <c r="E418" s="1" t="n">
        <v>46303</v>
      </c>
      <c r="F418" t="inlineStr">
        <is>
          <t>KALMAR LÄN</t>
        </is>
      </c>
      <c r="G418" t="inlineStr">
        <is>
          <t>TORSÅS</t>
        </is>
      </c>
      <c r="I418" t="n">
        <v>17.6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3287-2024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45527</v>
      </c>
      <c r="E419" s="1" t="n">
        <v>46303</v>
      </c>
      <c r="F419" t="inlineStr">
        <is>
          <t>KALMAR LÄN</t>
        </is>
      </c>
      <c r="G419" t="inlineStr">
        <is>
          <t>TORSÅS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1844-2024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45440</v>
      </c>
      <c r="E420" s="1" t="n">
        <v>46303</v>
      </c>
      <c r="F420" t="inlineStr">
        <is>
          <t>KALMAR LÄN</t>
        </is>
      </c>
      <c r="G420" t="inlineStr">
        <is>
          <t>TORSÅS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46303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46303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46303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46303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46303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46303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46303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46303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46303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46303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46303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46303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46303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46303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46303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46303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46303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46303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2026-10-08T02:07:36Z</dcterms:created>
  <dcterms:modified xmlns:dcterms="http://purl.org/dc/terms/" xmlns:xsi="http://www.w3.org/2001/XMLSchema-instance" xsi:type="dcterms:W3CDTF">2026-10-08T02:07:36Z</dcterms:modified>
</cp:coreProperties>
</file>