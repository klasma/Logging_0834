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46222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V2">
        <f>HYPERLINK("https://klasma.github.io/Logging_0834/artfynd/S 581-2023 artfynd.xlsx", "S 581-2023")</f>
        <v/>
      </c>
      <c r="W2">
        <f>HYPERLINK("https://klasma.github.io/Logging_0834/kartor/S 581-2023 karta.png", "S 581-2023")</f>
        <v/>
      </c>
      <c r="Y2">
        <f>HYPERLINK("https://klasma.github.io/Logging_0834/klagomål/S 581-2023 FSC-klagomål.docx", "S 581-2023")</f>
        <v/>
      </c>
      <c r="Z2">
        <f>HYPERLINK("https://klasma.github.io/Logging_0834/klagomålsmail/S 581-2023 FSC-klagomål mail.docx", "S 581-2023")</f>
        <v/>
      </c>
      <c r="AA2">
        <f>HYPERLINK("https://klasma.github.io/Logging_0834/tillsyn/S 581-2023 tillsynsbegäran.docx", "S 581-2023")</f>
        <v/>
      </c>
      <c r="AB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46222</v>
      </c>
      <c r="F3" t="inlineStr">
        <is>
          <t>KALMAR LÄN</t>
        </is>
      </c>
      <c r="G3" t="inlineStr">
        <is>
          <t>TORSÅS</t>
        </is>
      </c>
      <c r="I3" t="n">
        <v>8.4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s="2" t="inlineStr">
        <is>
          <t>Enkelbeckasin
Oxtungssvamp
Talltita
Spillkråka
Kungsfågel
Trana</t>
        </is>
      </c>
      <c r="V3">
        <f>HYPERLINK("https://klasma.github.io/Logging_0834/artfynd/A 56700-2025 artfynd.xlsx", "A 56700-2025")</f>
        <v/>
      </c>
      <c r="W3">
        <f>HYPERLINK("https://klasma.github.io/Logging_0834/kartor/A 56700-2025 karta.png", "A 56700-2025")</f>
        <v/>
      </c>
      <c r="Y3">
        <f>HYPERLINK("https://klasma.github.io/Logging_0834/klagomål/A 56700-2025 FSC-klagomål.docx", "A 56700-2025")</f>
        <v/>
      </c>
      <c r="Z3">
        <f>HYPERLINK("https://klasma.github.io/Logging_0834/klagomålsmail/A 56700-2025 FSC-klagomål mail.docx", "A 56700-2025")</f>
        <v/>
      </c>
      <c r="AA3">
        <f>HYPERLINK("https://klasma.github.io/Logging_0834/tillsyn/A 56700-2025 tillsynsbegäran.docx", "A 56700-2025")</f>
        <v/>
      </c>
      <c r="AB3">
        <f>HYPERLINK("https://klasma.github.io/Logging_0834/tillsynsmail/A 56700-2025 tillsynsbegäran mail.docx", "A 56700-2025")</f>
        <v/>
      </c>
      <c r="AC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46222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s="2" t="inlineStr">
        <is>
          <t>Tofsvipa
Brunlångöra
Nordfladdermus
Ekoxe
Dvärgpipistrell
Trollpipistrell</t>
        </is>
      </c>
      <c r="V4">
        <f>HYPERLINK("https://klasma.github.io/Logging_0834/artfynd/S 864-2024 artfynd.xlsx", "S 864-2024")</f>
        <v/>
      </c>
      <c r="W4">
        <f>HYPERLINK("https://klasma.github.io/Logging_0834/kartor/S 864-2024 karta.png", "S 864-2024")</f>
        <v/>
      </c>
      <c r="Y4">
        <f>HYPERLINK("https://klasma.github.io/Logging_0834/klagomål/S 864-2024 FSC-klagomål.docx", "S 864-2024")</f>
        <v/>
      </c>
      <c r="Z4">
        <f>HYPERLINK("https://klasma.github.io/Logging_0834/klagomålsmail/S 864-2024 FSC-klagomål mail.docx", "S 864-2024")</f>
        <v/>
      </c>
      <c r="AA4">
        <f>HYPERLINK("https://klasma.github.io/Logging_0834/tillsyn/S 864-2024 tillsynsbegäran.docx", "S 864-2024")</f>
        <v/>
      </c>
      <c r="AB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46222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s="2" t="inlineStr">
        <is>
          <t>Korskovall
Krusfrö
Vippärt
Blåsippa</t>
        </is>
      </c>
      <c r="V5">
        <f>HYPERLINK("https://klasma.github.io/Logging_0834/artfynd/A 28946-2025 artfynd.xlsx", "A 28946-2025")</f>
        <v/>
      </c>
      <c r="W5">
        <f>HYPERLINK("https://klasma.github.io/Logging_0834/kartor/A 28946-2025 karta.png", "A 28946-2025")</f>
        <v/>
      </c>
      <c r="Y5">
        <f>HYPERLINK("https://klasma.github.io/Logging_0834/klagomål/A 28946-2025 FSC-klagomål.docx", "A 28946-2025")</f>
        <v/>
      </c>
      <c r="Z5">
        <f>HYPERLINK("https://klasma.github.io/Logging_0834/klagomålsmail/A 28946-2025 FSC-klagomål mail.docx", "A 28946-2025")</f>
        <v/>
      </c>
      <c r="AA5">
        <f>HYPERLINK("https://klasma.github.io/Logging_0834/tillsyn/A 28946-2025 tillsynsbegäran.docx", "A 28946-2025")</f>
        <v/>
      </c>
      <c r="AB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46222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s="2" t="inlineStr">
        <is>
          <t>Sydpipistrell
Nordfladdermus
Dvärgpipistrell
Större brunfladdermus</t>
        </is>
      </c>
      <c r="V6">
        <f>HYPERLINK("https://klasma.github.io/Logging_0834/artfynd/A 24660-2025 artfynd.xlsx", "A 24660-2025")</f>
        <v/>
      </c>
      <c r="W6">
        <f>HYPERLINK("https://klasma.github.io/Logging_0834/kartor/A 24660-2025 karta.png", "A 24660-2025")</f>
        <v/>
      </c>
      <c r="Y6">
        <f>HYPERLINK("https://klasma.github.io/Logging_0834/klagomål/A 24660-2025 FSC-klagomål.docx", "A 24660-2025")</f>
        <v/>
      </c>
      <c r="Z6">
        <f>HYPERLINK("https://klasma.github.io/Logging_0834/klagomålsmail/A 24660-2025 FSC-klagomål mail.docx", "A 24660-2025")</f>
        <v/>
      </c>
      <c r="AA6">
        <f>HYPERLINK("https://klasma.github.io/Logging_0834/tillsyn/A 24660-2025 tillsynsbegäran.docx", "A 24660-2025")</f>
        <v/>
      </c>
      <c r="AB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46222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s="2" t="inlineStr">
        <is>
          <t>Ask
Kattmynta
Stortimjan
Sumpviol</t>
        </is>
      </c>
      <c r="V7">
        <f>HYPERLINK("https://klasma.github.io/Logging_0834/artfynd/S 3173-2022 artfynd.xlsx", "S 3173-2022")</f>
        <v/>
      </c>
      <c r="W7">
        <f>HYPERLINK("https://klasma.github.io/Logging_0834/kartor/S 3173-2022 karta.png", "S 3173-2022")</f>
        <v/>
      </c>
      <c r="Y7">
        <f>HYPERLINK("https://klasma.github.io/Logging_0834/klagomål/S 3173-2022 FSC-klagomål.docx", "S 3173-2022")</f>
        <v/>
      </c>
      <c r="Z7">
        <f>HYPERLINK("https://klasma.github.io/Logging_0834/klagomålsmail/S 3173-2022 FSC-klagomål mail.docx", "S 3173-2022")</f>
        <v/>
      </c>
      <c r="AA7">
        <f>HYPERLINK("https://klasma.github.io/Logging_0834/tillsyn/S 3173-2022 tillsynsbegäran.docx", "S 3173-2022")</f>
        <v/>
      </c>
      <c r="AB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46222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Nordfladdermus
Dvärgpipistrell
Större brunfladdermus</t>
        </is>
      </c>
      <c r="V8">
        <f>HYPERLINK("https://klasma.github.io/Logging_0834/artfynd/A 50351-2021 artfynd.xlsx", "A 50351-2021")</f>
        <v/>
      </c>
      <c r="W8">
        <f>HYPERLINK("https://klasma.github.io/Logging_0834/kartor/A 50351-2021 karta.png", "A 50351-2021")</f>
        <v/>
      </c>
      <c r="Y8">
        <f>HYPERLINK("https://klasma.github.io/Logging_0834/klagomål/A 50351-2021 FSC-klagomål.docx", "A 50351-2021")</f>
        <v/>
      </c>
      <c r="Z8">
        <f>HYPERLINK("https://klasma.github.io/Logging_0834/klagomålsmail/A 50351-2021 FSC-klagomål mail.docx", "A 50351-2021")</f>
        <v/>
      </c>
      <c r="AA8">
        <f>HYPERLINK("https://klasma.github.io/Logging_0834/tillsyn/A 50351-2021 tillsynsbegäran.docx", "A 50351-2021")</f>
        <v/>
      </c>
      <c r="AB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46222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s="2" t="inlineStr">
        <is>
          <t>Almlav
Korndådra
Gulvit blekspik</t>
        </is>
      </c>
      <c r="V9">
        <f>HYPERLINK("https://klasma.github.io/Logging_0834/artfynd/A 8304-2024 artfynd.xlsx", "A 8304-2024")</f>
        <v/>
      </c>
      <c r="W9">
        <f>HYPERLINK("https://klasma.github.io/Logging_0834/kartor/A 8304-2024 karta.png", "A 8304-2024")</f>
        <v/>
      </c>
      <c r="Y9">
        <f>HYPERLINK("https://klasma.github.io/Logging_0834/klagomål/A 8304-2024 FSC-klagomål.docx", "A 8304-2024")</f>
        <v/>
      </c>
      <c r="Z9">
        <f>HYPERLINK("https://klasma.github.io/Logging_0834/klagomålsmail/A 8304-2024 FSC-klagomål mail.docx", "A 8304-2024")</f>
        <v/>
      </c>
      <c r="AA9">
        <f>HYPERLINK("https://klasma.github.io/Logging_0834/tillsyn/A 8304-2024 tillsynsbegäran.docx", "A 8304-2024")</f>
        <v/>
      </c>
      <c r="AB9">
        <f>HYPERLINK("https://klasma.github.io/Logging_0834/tillsynsmail/A 8304-2024 tillsynsbegäran mail.docx", "A 8304-2024")</f>
        <v/>
      </c>
    </row>
    <row r="10" ht="15" customHeight="1">
      <c r="A10" t="inlineStr">
        <is>
          <t>A 8427-2023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44977</v>
      </c>
      <c r="E10" s="1" t="n">
        <v>46222</v>
      </c>
      <c r="F10" t="inlineStr">
        <is>
          <t>KALMAR LÄN</t>
        </is>
      </c>
      <c r="G10" t="inlineStr">
        <is>
          <t>TORSÅS</t>
        </is>
      </c>
      <c r="I10" t="n">
        <v>0.5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Bokvårtlav
Blomkålssvamp
Stubbspretmossa</t>
        </is>
      </c>
      <c r="V10">
        <f>HYPERLINK("https://klasma.github.io/Logging_0834/artfynd/A 8427-2023 artfynd.xlsx", "A 8427-2023")</f>
        <v/>
      </c>
      <c r="W10">
        <f>HYPERLINK("https://klasma.github.io/Logging_0834/kartor/A 8427-2023 karta.png", "A 8427-2023")</f>
        <v/>
      </c>
      <c r="Y10">
        <f>HYPERLINK("https://klasma.github.io/Logging_0834/klagomål/A 8427-2023 FSC-klagomål.docx", "A 8427-2023")</f>
        <v/>
      </c>
      <c r="Z10">
        <f>HYPERLINK("https://klasma.github.io/Logging_0834/klagomålsmail/A 8427-2023 FSC-klagomål mail.docx", "A 8427-2023")</f>
        <v/>
      </c>
      <c r="AA10">
        <f>HYPERLINK("https://klasma.github.io/Logging_0834/tillsyn/A 8427-2023 tillsynsbegäran.docx", "A 8427-2023")</f>
        <v/>
      </c>
      <c r="AB10">
        <f>HYPERLINK("https://klasma.github.io/Logging_0834/tillsynsmail/A 8427-2023 tillsynsbegäran mail.docx", "A 8427-2023")</f>
        <v/>
      </c>
    </row>
    <row r="11" ht="15" customHeight="1">
      <c r="A11" t="inlineStr">
        <is>
          <t>A 24159-2022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44725</v>
      </c>
      <c r="E11" s="1" t="n">
        <v>46222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s="2" t="inlineStr">
        <is>
          <t>Nordfladdermus
Dvärgpipistrell
Större brunfladdermus</t>
        </is>
      </c>
      <c r="V11">
        <f>HYPERLINK("https://klasma.github.io/Logging_0834/artfynd/A 24159-2022 artfynd.xlsx", "A 24159-2022")</f>
        <v/>
      </c>
      <c r="W11">
        <f>HYPERLINK("https://klasma.github.io/Logging_0834/kartor/A 24159-2022 karta.png", "A 24159-2022")</f>
        <v/>
      </c>
      <c r="Y11">
        <f>HYPERLINK("https://klasma.github.io/Logging_0834/klagomål/A 24159-2022 FSC-klagomål.docx", "A 24159-2022")</f>
        <v/>
      </c>
      <c r="Z11">
        <f>HYPERLINK("https://klasma.github.io/Logging_0834/klagomålsmail/A 24159-2022 FSC-klagomål mail.docx", "A 24159-2022")</f>
        <v/>
      </c>
      <c r="AA11">
        <f>HYPERLINK("https://klasma.github.io/Logging_0834/tillsyn/A 24159-2022 tillsynsbegäran.docx", "A 24159-2022")</f>
        <v/>
      </c>
      <c r="AB11">
        <f>HYPERLINK("https://klasma.github.io/Logging_0834/tillsynsmail/A 24159-2022 tillsynsbegäran mail.docx", "A 24159-2022")</f>
        <v/>
      </c>
    </row>
    <row r="12" ht="15" customHeight="1">
      <c r="A12" t="inlineStr">
        <is>
          <t>A 47385-2023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45202</v>
      </c>
      <c r="E12" s="1" t="n">
        <v>46222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s="2" t="inlineStr">
        <is>
          <t>Nordfladdermus
Större brunfladdermus
Trollpipistrell</t>
        </is>
      </c>
      <c r="V12">
        <f>HYPERLINK("https://klasma.github.io/Logging_0834/artfynd/A 47385-2023 artfynd.xlsx", "A 47385-2023")</f>
        <v/>
      </c>
      <c r="W12">
        <f>HYPERLINK("https://klasma.github.io/Logging_0834/kartor/A 47385-2023 karta.png", "A 47385-2023")</f>
        <v/>
      </c>
      <c r="Y12">
        <f>HYPERLINK("https://klasma.github.io/Logging_0834/klagomål/A 47385-2023 FSC-klagomål.docx", "A 47385-2023")</f>
        <v/>
      </c>
      <c r="Z12">
        <f>HYPERLINK("https://klasma.github.io/Logging_0834/klagomålsmail/A 47385-2023 FSC-klagomål mail.docx", "A 47385-2023")</f>
        <v/>
      </c>
      <c r="AA12">
        <f>HYPERLINK("https://klasma.github.io/Logging_0834/tillsyn/A 47385-2023 tillsynsbegäran.docx", "A 47385-2023")</f>
        <v/>
      </c>
      <c r="AB12">
        <f>HYPERLINK("https://klasma.github.io/Logging_0834/tillsynsmail/A 47385-2023 tillsynsbegäran mail.docx", "A 47385-2023")</f>
        <v/>
      </c>
    </row>
    <row r="13" ht="15" customHeight="1">
      <c r="A13" t="inlineStr">
        <is>
          <t>S 7079-2021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44462</v>
      </c>
      <c r="E13" s="1" t="n">
        <v>46222</v>
      </c>
      <c r="F13" t="inlineStr">
        <is>
          <t>KALMAR LÄN</t>
        </is>
      </c>
      <c r="G13" t="inlineStr">
        <is>
          <t>TORSÅS</t>
        </is>
      </c>
      <c r="I13" t="n">
        <v>93.90000000000001</v>
      </c>
      <c r="J13" t="n">
        <v>1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s="2" t="inlineStr">
        <is>
          <t>Skogsalm
Igelkott
Långbensgroda</t>
        </is>
      </c>
      <c r="V13">
        <f>HYPERLINK("https://klasma.github.io/Logging_0834/artfynd/S 7079-2021 artfynd.xlsx", "S 7079-2021")</f>
        <v/>
      </c>
      <c r="W13">
        <f>HYPERLINK("https://klasma.github.io/Logging_0834/kartor/S 7079-2021 karta.png", "S 7079-2021")</f>
        <v/>
      </c>
      <c r="Y13">
        <f>HYPERLINK("https://klasma.github.io/Logging_0834/klagomål/S 7079-2021 FSC-klagomål.docx", "S 7079-2021")</f>
        <v/>
      </c>
      <c r="Z13">
        <f>HYPERLINK("https://klasma.github.io/Logging_0834/klagomålsmail/S 7079-2021 FSC-klagomål mail.docx", "S 7079-2021")</f>
        <v/>
      </c>
      <c r="AA13">
        <f>HYPERLINK("https://klasma.github.io/Logging_0834/tillsyn/S 7079-2021 tillsynsbegäran.docx", "S 7079-2021")</f>
        <v/>
      </c>
      <c r="AB13">
        <f>HYPERLINK("https://klasma.github.io/Logging_0834/tillsynsmail/S 7079-2021 tillsynsbegäran mail.docx", "S 7079-2021")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46222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s="2" t="inlineStr">
        <is>
          <t>Slåttergubbe
Jungfrulin
Solvända</t>
        </is>
      </c>
      <c r="V14">
        <f>HYPERLINK("https://klasma.github.io/Logging_0834/artfynd/S 356-2024 artfynd.xlsx", "S 356-2024")</f>
        <v/>
      </c>
      <c r="W14">
        <f>HYPERLINK("https://klasma.github.io/Logging_0834/kartor/S 356-2024 karta.png", "S 356-2024")</f>
        <v/>
      </c>
      <c r="Y14">
        <f>HYPERLINK("https://klasma.github.io/Logging_0834/klagomål/S 356-2024 FSC-klagomål.docx", "S 356-2024")</f>
        <v/>
      </c>
      <c r="Z14">
        <f>HYPERLINK("https://klasma.github.io/Logging_0834/klagomålsmail/S 356-2024 FSC-klagomål mail.docx", "S 356-2024")</f>
        <v/>
      </c>
      <c r="AA14">
        <f>HYPERLINK("https://klasma.github.io/Logging_0834/tillsyn/S 356-2024 tillsynsbegäran.docx", "S 356-2024")</f>
        <v/>
      </c>
      <c r="AB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46222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s="2" t="inlineStr">
        <is>
          <t>Nordfladdermus
Bollvitmossa
Vanlig padda</t>
        </is>
      </c>
      <c r="V15">
        <f>HYPERLINK("https://klasma.github.io/Logging_0834/artfynd/S 587-2026 artfynd.xlsx", "S 587-2026")</f>
        <v/>
      </c>
      <c r="W15">
        <f>HYPERLINK("https://klasma.github.io/Logging_0834/kartor/S 587-2026 karta.png", "S 587-2026")</f>
        <v/>
      </c>
      <c r="Y15">
        <f>HYPERLINK("https://klasma.github.io/Logging_0834/klagomål/S 587-2026 FSC-klagomål.docx", "S 587-2026")</f>
        <v/>
      </c>
      <c r="Z15">
        <f>HYPERLINK("https://klasma.github.io/Logging_0834/klagomålsmail/S 587-2026 FSC-klagomål mail.docx", "S 587-2026")</f>
        <v/>
      </c>
      <c r="AA15">
        <f>HYPERLINK("https://klasma.github.io/Logging_0834/tillsyn/S 587-2026 tillsynsbegäran.docx", "S 587-2026")</f>
        <v/>
      </c>
      <c r="AB15">
        <f>HYPERLINK("https://klasma.github.io/Logging_0834/tillsynsmail/S 587-2026 tillsynsbegäran mail.docx", "S 587-2026")</f>
        <v/>
      </c>
    </row>
    <row r="16" ht="15" customHeight="1">
      <c r="A16" t="inlineStr">
        <is>
          <t>A 38695-2021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44410</v>
      </c>
      <c r="E16" s="1" t="n">
        <v>46222</v>
      </c>
      <c r="F16" t="inlineStr">
        <is>
          <t>KALMAR LÄN</t>
        </is>
      </c>
      <c r="G16" t="inlineStr">
        <is>
          <t>TORSÅS</t>
        </is>
      </c>
      <c r="I16" t="n">
        <v>17.2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Murgröna
Blåsippa</t>
        </is>
      </c>
      <c r="V16">
        <f>HYPERLINK("https://klasma.github.io/Logging_0834/artfynd/A 38695-2021 artfynd.xlsx", "A 38695-2021")</f>
        <v/>
      </c>
      <c r="W16">
        <f>HYPERLINK("https://klasma.github.io/Logging_0834/kartor/A 38695-2021 karta.png", "A 38695-2021")</f>
        <v/>
      </c>
      <c r="Y16">
        <f>HYPERLINK("https://klasma.github.io/Logging_0834/klagomål/A 38695-2021 FSC-klagomål.docx", "A 38695-2021")</f>
        <v/>
      </c>
      <c r="Z16">
        <f>HYPERLINK("https://klasma.github.io/Logging_0834/klagomålsmail/A 38695-2021 FSC-klagomål mail.docx", "A 38695-2021")</f>
        <v/>
      </c>
      <c r="AA16">
        <f>HYPERLINK("https://klasma.github.io/Logging_0834/tillsyn/A 38695-2021 tillsynsbegäran.docx", "A 38695-2021")</f>
        <v/>
      </c>
      <c r="AB16">
        <f>HYPERLINK("https://klasma.github.io/Logging_0834/tillsynsmail/A 38695-2021 tillsynsbegäran mail.docx", "A 38695-2021")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46222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Selleri
Kavelhirs</t>
        </is>
      </c>
      <c r="V17">
        <f>HYPERLINK("https://klasma.github.io/Logging_0834/artfynd/A 2063-2023 artfynd.xlsx", "A 2063-2023")</f>
        <v/>
      </c>
      <c r="W17">
        <f>HYPERLINK("https://klasma.github.io/Logging_0834/kartor/A 2063-2023 karta.png", "A 2063-2023")</f>
        <v/>
      </c>
      <c r="Y17">
        <f>HYPERLINK("https://klasma.github.io/Logging_0834/klagomål/A 2063-2023 FSC-klagomål.docx", "A 2063-2023")</f>
        <v/>
      </c>
      <c r="Z17">
        <f>HYPERLINK("https://klasma.github.io/Logging_0834/klagomålsmail/A 2063-2023 FSC-klagomål mail.docx", "A 2063-2023")</f>
        <v/>
      </c>
      <c r="AA17">
        <f>HYPERLINK("https://klasma.github.io/Logging_0834/tillsyn/A 2063-2023 tillsynsbegäran.docx", "A 2063-2023")</f>
        <v/>
      </c>
      <c r="AB17">
        <f>HYPERLINK("https://klasma.github.io/Logging_0834/tillsynsmail/A 2063-2023 tillsynsbegäran mail.docx", "A 2063-2023")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46222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Nordfladdermus
Underviol</t>
        </is>
      </c>
      <c r="V18">
        <f>HYPERLINK("https://klasma.github.io/Logging_0834/artfynd/A 8311-2024 artfynd.xlsx", "A 8311-2024")</f>
        <v/>
      </c>
      <c r="W18">
        <f>HYPERLINK("https://klasma.github.io/Logging_0834/kartor/A 8311-2024 karta.png", "A 8311-2024")</f>
        <v/>
      </c>
      <c r="Y18">
        <f>HYPERLINK("https://klasma.github.io/Logging_0834/klagomål/A 8311-2024 FSC-klagomål.docx", "A 8311-2024")</f>
        <v/>
      </c>
      <c r="Z18">
        <f>HYPERLINK("https://klasma.github.io/Logging_0834/klagomålsmail/A 8311-2024 FSC-klagomål mail.docx", "A 8311-2024")</f>
        <v/>
      </c>
      <c r="AA18">
        <f>HYPERLINK("https://klasma.github.io/Logging_0834/tillsyn/A 8311-2024 tillsynsbegäran.docx", "A 8311-2024")</f>
        <v/>
      </c>
      <c r="AB18">
        <f>HYPERLINK("https://klasma.github.io/Logging_0834/tillsynsmail/A 8311-2024 tillsynsbegäran mail.docx", "A 8311-2024")</f>
        <v/>
      </c>
    </row>
    <row r="19" ht="15" customHeight="1">
      <c r="A19" t="inlineStr">
        <is>
          <t>A 10603-2023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44988</v>
      </c>
      <c r="E19" s="1" t="n">
        <v>46222</v>
      </c>
      <c r="F19" t="inlineStr">
        <is>
          <t>KALMAR LÄN</t>
        </is>
      </c>
      <c r="G19" t="inlineStr">
        <is>
          <t>TORSÅS</t>
        </is>
      </c>
      <c r="I19" t="n">
        <v>0.9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Stare
Skogsödla</t>
        </is>
      </c>
      <c r="V19">
        <f>HYPERLINK("https://klasma.github.io/Logging_0834/artfynd/A 10603-2023 artfynd.xlsx", "A 10603-2023")</f>
        <v/>
      </c>
      <c r="W19">
        <f>HYPERLINK("https://klasma.github.io/Logging_0834/kartor/A 10603-2023 karta.png", "A 10603-2023")</f>
        <v/>
      </c>
      <c r="Y19">
        <f>HYPERLINK("https://klasma.github.io/Logging_0834/klagomål/A 10603-2023 FSC-klagomål.docx", "A 10603-2023")</f>
        <v/>
      </c>
      <c r="Z19">
        <f>HYPERLINK("https://klasma.github.io/Logging_0834/klagomålsmail/A 10603-2023 FSC-klagomål mail.docx", "A 10603-2023")</f>
        <v/>
      </c>
      <c r="AA19">
        <f>HYPERLINK("https://klasma.github.io/Logging_0834/tillsyn/A 10603-2023 tillsynsbegäran.docx", "A 10603-2023")</f>
        <v/>
      </c>
      <c r="AB19">
        <f>HYPERLINK("https://klasma.github.io/Logging_0834/tillsynsmail/A 10603-2023 tillsynsbegäran mail.docx", "A 10603-2023")</f>
        <v/>
      </c>
      <c r="AC19">
        <f>HYPERLINK("https://klasma.github.io/Logging_0834/fåglar/A 10603-2023 prioriterade fågelarter.docx", "A 10603-2023")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46222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s="2" t="inlineStr">
        <is>
          <t>Ask
Korskovall</t>
        </is>
      </c>
      <c r="V20">
        <f>HYPERLINK("https://klasma.github.io/Logging_0834/artfynd/S 2490-2024 artfynd.xlsx", "S 2490-2024")</f>
        <v/>
      </c>
      <c r="W20">
        <f>HYPERLINK("https://klasma.github.io/Logging_0834/kartor/S 2490-2024 karta.png", "S 2490-2024")</f>
        <v/>
      </c>
      <c r="Y20">
        <f>HYPERLINK("https://klasma.github.io/Logging_0834/klagomål/S 2490-2024 FSC-klagomål.docx", "S 2490-2024")</f>
        <v/>
      </c>
      <c r="Z20">
        <f>HYPERLINK("https://klasma.github.io/Logging_0834/klagomålsmail/S 2490-2024 FSC-klagomål mail.docx", "S 2490-2024")</f>
        <v/>
      </c>
      <c r="AA20">
        <f>HYPERLINK("https://klasma.github.io/Logging_0834/tillsyn/S 2490-2024 tillsynsbegäran.docx", "S 2490-2024")</f>
        <v/>
      </c>
      <c r="AB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46222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Bred paljettdykare
Bredkantad dykare</t>
        </is>
      </c>
      <c r="V21">
        <f>HYPERLINK("https://klasma.github.io/Logging_0834/artfynd/S 57-2023 artfynd.xlsx", "S 57-2023")</f>
        <v/>
      </c>
      <c r="W21">
        <f>HYPERLINK("https://klasma.github.io/Logging_0834/kartor/S 57-2023 karta.png", "S 57-2023")</f>
        <v/>
      </c>
      <c r="Y21">
        <f>HYPERLINK("https://klasma.github.io/Logging_0834/klagomål/S 57-2023 FSC-klagomål.docx", "S 57-2023")</f>
        <v/>
      </c>
      <c r="Z21">
        <f>HYPERLINK("https://klasma.github.io/Logging_0834/klagomålsmail/S 57-2023 FSC-klagomål mail.docx", "S 57-2023")</f>
        <v/>
      </c>
      <c r="AA21">
        <f>HYPERLINK("https://klasma.github.io/Logging_0834/tillsyn/S 57-2023 tillsynsbegäran.docx", "S 57-2023")</f>
        <v/>
      </c>
      <c r="AB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46222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s="2" t="inlineStr">
        <is>
          <t>Kavelhirs
Blåmossa</t>
        </is>
      </c>
      <c r="V22">
        <f>HYPERLINK("https://klasma.github.io/Logging_0834/artfynd/S 47-2023 artfynd.xlsx", "S 47-2023")</f>
        <v/>
      </c>
      <c r="W22">
        <f>HYPERLINK("https://klasma.github.io/Logging_0834/kartor/S 47-2023 karta.png", "S 47-2023")</f>
        <v/>
      </c>
      <c r="Y22">
        <f>HYPERLINK("https://klasma.github.io/Logging_0834/klagomål/S 47-2023 FSC-klagomål.docx", "S 47-2023")</f>
        <v/>
      </c>
      <c r="Z22">
        <f>HYPERLINK("https://klasma.github.io/Logging_0834/klagomålsmail/S 47-2023 FSC-klagomål mail.docx", "S 47-2023")</f>
        <v/>
      </c>
      <c r="AA22">
        <f>HYPERLINK("https://klasma.github.io/Logging_0834/tillsyn/S 47-2023 tillsynsbegäran.docx", "S 47-2023")</f>
        <v/>
      </c>
      <c r="AB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46222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Grönpyrola
Mattlummer</t>
        </is>
      </c>
      <c r="V23">
        <f>HYPERLINK("https://klasma.github.io/Logging_0834/artfynd/S 373-2026 artfynd.xlsx", "S 373-2026")</f>
        <v/>
      </c>
      <c r="W23">
        <f>HYPERLINK("https://klasma.github.io/Logging_0834/kartor/S 373-2026 karta.png", "S 373-2026")</f>
        <v/>
      </c>
      <c r="Y23">
        <f>HYPERLINK("https://klasma.github.io/Logging_0834/klagomål/S 373-2026 FSC-klagomål.docx", "S 373-2026")</f>
        <v/>
      </c>
      <c r="Z23">
        <f>HYPERLINK("https://klasma.github.io/Logging_0834/klagomålsmail/S 373-2026 FSC-klagomål mail.docx", "S 373-2026")</f>
        <v/>
      </c>
      <c r="AA23">
        <f>HYPERLINK("https://klasma.github.io/Logging_0834/tillsyn/S 373-2026 tillsynsbegäran.docx", "S 373-2026")</f>
        <v/>
      </c>
      <c r="AB23">
        <f>HYPERLINK("https://klasma.github.io/Logging_0834/tillsynsmail/S 373-2026 tillsynsbegäran mail.docx", "S 373-2026")</f>
        <v/>
      </c>
    </row>
    <row r="24" ht="15" customHeight="1">
      <c r="A24" t="inlineStr">
        <is>
          <t>A 49410-2021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46222</v>
      </c>
      <c r="F24" t="inlineStr">
        <is>
          <t>KALMAR LÄN</t>
        </is>
      </c>
      <c r="G24" t="inlineStr">
        <is>
          <t>TORSÅS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Nattviol</t>
        </is>
      </c>
      <c r="V24">
        <f>HYPERLINK("https://klasma.github.io/Logging_0834/artfynd/A 49410-2021 artfynd.xlsx", "A 49410-2021")</f>
        <v/>
      </c>
      <c r="W24">
        <f>HYPERLINK("https://klasma.github.io/Logging_0834/kartor/A 49410-2021 karta.png", "A 49410-2021")</f>
        <v/>
      </c>
      <c r="Y24">
        <f>HYPERLINK("https://klasma.github.io/Logging_0834/klagomål/A 49410-2021 FSC-klagomål.docx", "A 49410-2021")</f>
        <v/>
      </c>
      <c r="Z24">
        <f>HYPERLINK("https://klasma.github.io/Logging_0834/klagomålsmail/A 49410-2021 FSC-klagomål mail.docx", "A 49410-2021")</f>
        <v/>
      </c>
      <c r="AA24">
        <f>HYPERLINK("https://klasma.github.io/Logging_0834/tillsyn/A 49410-2021 tillsynsbegäran.docx", "A 49410-2021")</f>
        <v/>
      </c>
      <c r="AB24">
        <f>HYPERLINK("https://klasma.github.io/Logging_0834/tillsynsmail/A 49410-2021 tillsynsbegäran mail.docx", "A 49410-2021")</f>
        <v/>
      </c>
    </row>
    <row r="25" ht="15" customHeight="1">
      <c r="A25" t="inlineStr">
        <is>
          <t>A 14976-2022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44657</v>
      </c>
      <c r="E25" s="1" t="n">
        <v>46222</v>
      </c>
      <c r="F25" t="inlineStr">
        <is>
          <t>KALMAR LÄN</t>
        </is>
      </c>
      <c r="G25" t="inlineStr">
        <is>
          <t>TORSÅS</t>
        </is>
      </c>
      <c r="I25" t="n">
        <v>1.6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Ekoxe</t>
        </is>
      </c>
      <c r="V25">
        <f>HYPERLINK("https://klasma.github.io/Logging_0834/artfynd/A 14976-2022 artfynd.xlsx", "A 14976-2022")</f>
        <v/>
      </c>
      <c r="W25">
        <f>HYPERLINK("https://klasma.github.io/Logging_0834/kartor/A 14976-2022 karta.png", "A 14976-2022")</f>
        <v/>
      </c>
      <c r="Y25">
        <f>HYPERLINK("https://klasma.github.io/Logging_0834/klagomål/A 14976-2022 FSC-klagomål.docx", "A 14976-2022")</f>
        <v/>
      </c>
      <c r="Z25">
        <f>HYPERLINK("https://klasma.github.io/Logging_0834/klagomålsmail/A 14976-2022 FSC-klagomål mail.docx", "A 14976-2022")</f>
        <v/>
      </c>
      <c r="AA25">
        <f>HYPERLINK("https://klasma.github.io/Logging_0834/tillsyn/A 14976-2022 tillsynsbegäran.docx", "A 14976-2022")</f>
        <v/>
      </c>
      <c r="AB25">
        <f>HYPERLINK("https://klasma.github.io/Logging_0834/tillsynsmail/A 14976-2022 tillsynsbegäran mail.docx", "A 14976-2022")</f>
        <v/>
      </c>
    </row>
    <row r="26" ht="15" customHeight="1">
      <c r="A26" t="inlineStr">
        <is>
          <t>A 49001-2021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44453</v>
      </c>
      <c r="E26" s="1" t="n">
        <v>46222</v>
      </c>
      <c r="F26" t="inlineStr">
        <is>
          <t>KALMAR LÄN</t>
        </is>
      </c>
      <c r="G26" t="inlineStr">
        <is>
          <t>TORSÅS</t>
        </is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Blåmossa</t>
        </is>
      </c>
      <c r="V26">
        <f>HYPERLINK("https://klasma.github.io/Logging_0834/artfynd/A 49001-2021 artfynd.xlsx", "A 49001-2021")</f>
        <v/>
      </c>
      <c r="W26">
        <f>HYPERLINK("https://klasma.github.io/Logging_0834/kartor/A 49001-2021 karta.png", "A 49001-2021")</f>
        <v/>
      </c>
      <c r="Y26">
        <f>HYPERLINK("https://klasma.github.io/Logging_0834/klagomål/A 49001-2021 FSC-klagomål.docx", "A 49001-2021")</f>
        <v/>
      </c>
      <c r="Z26">
        <f>HYPERLINK("https://klasma.github.io/Logging_0834/klagomålsmail/A 49001-2021 FSC-klagomål mail.docx", "A 49001-2021")</f>
        <v/>
      </c>
      <c r="AA26">
        <f>HYPERLINK("https://klasma.github.io/Logging_0834/tillsyn/A 49001-2021 tillsynsbegäran.docx", "A 49001-2021")</f>
        <v/>
      </c>
      <c r="AB26">
        <f>HYPERLINK("https://klasma.github.io/Logging_0834/tillsynsmail/A 49001-2021 tillsynsbegäran mail.docx", "A 49001-2021")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46222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Knärot</t>
        </is>
      </c>
      <c r="V27">
        <f>HYPERLINK("https://klasma.github.io/Logging_0834/artfynd/A 831-2022 artfynd.xlsx", "A 831-2022")</f>
        <v/>
      </c>
      <c r="W27">
        <f>HYPERLINK("https://klasma.github.io/Logging_0834/kartor/A 831-2022 karta.png", "A 831-2022")</f>
        <v/>
      </c>
      <c r="X27">
        <f>HYPERLINK("https://klasma.github.io/Logging_0834/knärot/A 831-2022 karta knärot.png", "A 831-2022")</f>
        <v/>
      </c>
      <c r="Y27">
        <f>HYPERLINK("https://klasma.github.io/Logging_0834/klagomål/A 831-2022 FSC-klagomål.docx", "A 831-2022")</f>
        <v/>
      </c>
      <c r="Z27">
        <f>HYPERLINK("https://klasma.github.io/Logging_0834/klagomålsmail/A 831-2022 FSC-klagomål mail.docx", "A 831-2022")</f>
        <v/>
      </c>
      <c r="AA27">
        <f>HYPERLINK("https://klasma.github.io/Logging_0834/tillsyn/A 831-2022 tillsynsbegäran.docx", "A 831-2022")</f>
        <v/>
      </c>
      <c r="AB27">
        <f>HYPERLINK("https://klasma.github.io/Logging_0834/tillsynsmail/A 831-2022 tillsynsbegäran mail.docx", "A 831-2022")</f>
        <v/>
      </c>
    </row>
    <row r="28" ht="15" customHeight="1">
      <c r="A28" t="inlineStr">
        <is>
          <t>A 44569-2025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46222</v>
      </c>
      <c r="F28" t="inlineStr">
        <is>
          <t>KALMAR LÄN</t>
        </is>
      </c>
      <c r="G28" t="inlineStr">
        <is>
          <t>TORSÅS</t>
        </is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Huggorm</t>
        </is>
      </c>
      <c r="V28">
        <f>HYPERLINK("https://klasma.github.io/Logging_0834/artfynd/A 44569-2025 artfynd.xlsx", "A 44569-2025")</f>
        <v/>
      </c>
      <c r="W28">
        <f>HYPERLINK("https://klasma.github.io/Logging_0834/kartor/A 44569-2025 karta.png", "A 44569-2025")</f>
        <v/>
      </c>
      <c r="Y28">
        <f>HYPERLINK("https://klasma.github.io/Logging_0834/klagomål/A 44569-2025 FSC-klagomål.docx", "A 44569-2025")</f>
        <v/>
      </c>
      <c r="Z28">
        <f>HYPERLINK("https://klasma.github.io/Logging_0834/klagomålsmail/A 44569-2025 FSC-klagomål mail.docx", "A 44569-2025")</f>
        <v/>
      </c>
      <c r="AA28">
        <f>HYPERLINK("https://klasma.github.io/Logging_0834/tillsyn/A 44569-2025 tillsynsbegäran.docx", "A 44569-2025")</f>
        <v/>
      </c>
      <c r="AB28">
        <f>HYPERLINK("https://klasma.github.io/Logging_0834/tillsynsmail/A 44569-2025 tillsynsbegäran mail.docx", "A 44569-2025")</f>
        <v/>
      </c>
    </row>
    <row r="29" ht="15" customHeight="1">
      <c r="A29" t="inlineStr">
        <is>
          <t>A 6611-2026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46056</v>
      </c>
      <c r="E29" s="1" t="n">
        <v>46222</v>
      </c>
      <c r="F29" t="inlineStr">
        <is>
          <t>KALMAR LÄN</t>
        </is>
      </c>
      <c r="G29" t="inlineStr">
        <is>
          <t>TORSÅS</t>
        </is>
      </c>
      <c r="I29" t="n">
        <v>5.4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Långbensgroda</t>
        </is>
      </c>
      <c r="V29">
        <f>HYPERLINK("https://klasma.github.io/Logging_0834/artfynd/A 6611-2026 artfynd.xlsx", "A 6611-2026")</f>
        <v/>
      </c>
      <c r="W29">
        <f>HYPERLINK("https://klasma.github.io/Logging_0834/kartor/A 6611-2026 karta.png", "A 6611-2026")</f>
        <v/>
      </c>
      <c r="Y29">
        <f>HYPERLINK("https://klasma.github.io/Logging_0834/klagomål/A 6611-2026 FSC-klagomål.docx", "A 6611-2026")</f>
        <v/>
      </c>
      <c r="Z29">
        <f>HYPERLINK("https://klasma.github.io/Logging_0834/klagomålsmail/A 6611-2026 FSC-klagomål mail.docx", "A 6611-2026")</f>
        <v/>
      </c>
      <c r="AA29">
        <f>HYPERLINK("https://klasma.github.io/Logging_0834/tillsyn/A 6611-2026 tillsynsbegäran.docx", "A 6611-2026")</f>
        <v/>
      </c>
      <c r="AB29">
        <f>HYPERLINK("https://klasma.github.io/Logging_0834/tillsynsmail/A 6611-2026 tillsynsbegäran mail.docx", "A 6611-2026")</f>
        <v/>
      </c>
    </row>
    <row r="30" ht="15" customHeight="1">
      <c r="A30" t="inlineStr">
        <is>
          <t>A 35769-2025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45860</v>
      </c>
      <c r="E30" s="1" t="n">
        <v>46222</v>
      </c>
      <c r="F30" t="inlineStr">
        <is>
          <t>KALMAR LÄN</t>
        </is>
      </c>
      <c r="G30" t="inlineStr">
        <is>
          <t>TORSÅS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Större brunfladdermus</t>
        </is>
      </c>
      <c r="V30">
        <f>HYPERLINK("https://klasma.github.io/Logging_0834/artfynd/A 35769-2025 artfynd.xlsx", "A 35769-2025")</f>
        <v/>
      </c>
      <c r="W30">
        <f>HYPERLINK("https://klasma.github.io/Logging_0834/kartor/A 35769-2025 karta.png", "A 35769-2025")</f>
        <v/>
      </c>
      <c r="Y30">
        <f>HYPERLINK("https://klasma.github.io/Logging_0834/klagomål/A 35769-2025 FSC-klagomål.docx", "A 35769-2025")</f>
        <v/>
      </c>
      <c r="Z30">
        <f>HYPERLINK("https://klasma.github.io/Logging_0834/klagomålsmail/A 35769-2025 FSC-klagomål mail.docx", "A 35769-2025")</f>
        <v/>
      </c>
      <c r="AA30">
        <f>HYPERLINK("https://klasma.github.io/Logging_0834/tillsyn/A 35769-2025 tillsynsbegäran.docx", "A 35769-2025")</f>
        <v/>
      </c>
      <c r="AB30">
        <f>HYPERLINK("https://klasma.github.io/Logging_0834/tillsynsmail/A 35769-2025 tillsynsbegäran mail.docx", "A 35769-2025")</f>
        <v/>
      </c>
    </row>
    <row r="31" ht="15" customHeight="1">
      <c r="A31" t="inlineStr">
        <is>
          <t>A 11606-2026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46084</v>
      </c>
      <c r="E31" s="1" t="n">
        <v>46222</v>
      </c>
      <c r="F31" t="inlineStr">
        <is>
          <t>KALMAR LÄN</t>
        </is>
      </c>
      <c r="G31" t="inlineStr">
        <is>
          <t>TORSÅS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Mattlummer</t>
        </is>
      </c>
      <c r="V31">
        <f>HYPERLINK("https://klasma.github.io/Logging_0834/artfynd/A 11606-2026 artfynd.xlsx", "A 11606-2026")</f>
        <v/>
      </c>
      <c r="W31">
        <f>HYPERLINK("https://klasma.github.io/Logging_0834/kartor/A 11606-2026 karta.png", "A 11606-2026")</f>
        <v/>
      </c>
      <c r="Y31">
        <f>HYPERLINK("https://klasma.github.io/Logging_0834/klagomål/A 11606-2026 FSC-klagomål.docx", "A 11606-2026")</f>
        <v/>
      </c>
      <c r="Z31">
        <f>HYPERLINK("https://klasma.github.io/Logging_0834/klagomålsmail/A 11606-2026 FSC-klagomål mail.docx", "A 11606-2026")</f>
        <v/>
      </c>
      <c r="AA31">
        <f>HYPERLINK("https://klasma.github.io/Logging_0834/tillsyn/A 11606-2026 tillsynsbegäran.docx", "A 11606-2026")</f>
        <v/>
      </c>
      <c r="AB31">
        <f>HYPERLINK("https://klasma.github.io/Logging_0834/tillsynsmail/A 11606-2026 tillsynsbegäran mail.docx", "A 11606-2026")</f>
        <v/>
      </c>
    </row>
    <row r="32" ht="15" customHeight="1">
      <c r="A32" t="inlineStr">
        <is>
          <t>A 2667-2022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44580</v>
      </c>
      <c r="E32" s="1" t="n">
        <v>46222</v>
      </c>
      <c r="F32" t="inlineStr">
        <is>
          <t>KALMAR LÄN</t>
        </is>
      </c>
      <c r="G32" t="inlineStr">
        <is>
          <t>TORSÅS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Långbensgroda</t>
        </is>
      </c>
      <c r="V32">
        <f>HYPERLINK("https://klasma.github.io/Logging_0834/artfynd/A 2667-2022 artfynd.xlsx", "A 2667-2022")</f>
        <v/>
      </c>
      <c r="W32">
        <f>HYPERLINK("https://klasma.github.io/Logging_0834/kartor/A 2667-2022 karta.png", "A 2667-2022")</f>
        <v/>
      </c>
      <c r="Y32">
        <f>HYPERLINK("https://klasma.github.io/Logging_0834/klagomål/A 2667-2022 FSC-klagomål.docx", "A 2667-2022")</f>
        <v/>
      </c>
      <c r="Z32">
        <f>HYPERLINK("https://klasma.github.io/Logging_0834/klagomålsmail/A 2667-2022 FSC-klagomål mail.docx", "A 2667-2022")</f>
        <v/>
      </c>
      <c r="AA32">
        <f>HYPERLINK("https://klasma.github.io/Logging_0834/tillsyn/A 2667-2022 tillsynsbegäran.docx", "A 2667-2022")</f>
        <v/>
      </c>
      <c r="AB32">
        <f>HYPERLINK("https://klasma.github.io/Logging_0834/tillsynsmail/A 2667-2022 tillsynsbegäran mail.docx", "A 2667-2022")</f>
        <v/>
      </c>
    </row>
    <row r="33" ht="15" customHeight="1">
      <c r="A33" t="inlineStr">
        <is>
          <t>A 15376-2023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45019</v>
      </c>
      <c r="E33" s="1" t="n">
        <v>46222</v>
      </c>
      <c r="F33" t="inlineStr">
        <is>
          <t>KALMAR LÄN</t>
        </is>
      </c>
      <c r="G33" t="inlineStr">
        <is>
          <t>TORSÅS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s="2" t="inlineStr">
        <is>
          <t>Långbensgroda</t>
        </is>
      </c>
      <c r="V33">
        <f>HYPERLINK("https://klasma.github.io/Logging_0834/artfynd/A 15376-2023 artfynd.xlsx", "A 15376-2023")</f>
        <v/>
      </c>
      <c r="W33">
        <f>HYPERLINK("https://klasma.github.io/Logging_0834/kartor/A 15376-2023 karta.png", "A 15376-2023")</f>
        <v/>
      </c>
      <c r="Y33">
        <f>HYPERLINK("https://klasma.github.io/Logging_0834/klagomål/A 15376-2023 FSC-klagomål.docx", "A 15376-2023")</f>
        <v/>
      </c>
      <c r="Z33">
        <f>HYPERLINK("https://klasma.github.io/Logging_0834/klagomålsmail/A 15376-2023 FSC-klagomål mail.docx", "A 15376-2023")</f>
        <v/>
      </c>
      <c r="AA33">
        <f>HYPERLINK("https://klasma.github.io/Logging_0834/tillsyn/A 15376-2023 tillsynsbegäran.docx", "A 15376-2023")</f>
        <v/>
      </c>
      <c r="AB33">
        <f>HYPERLINK("https://klasma.github.io/Logging_0834/tillsynsmail/A 15376-2023 tillsynsbegäran mail.docx", "A 15376-2023")</f>
        <v/>
      </c>
    </row>
    <row r="34" ht="15" customHeight="1">
      <c r="A34" t="inlineStr">
        <is>
          <t>A 16467-2026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46112</v>
      </c>
      <c r="E34" s="1" t="n">
        <v>46222</v>
      </c>
      <c r="F34" t="inlineStr">
        <is>
          <t>KALMAR LÄN</t>
        </is>
      </c>
      <c r="G34" t="inlineStr">
        <is>
          <t>TORSÅS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Svinrot</t>
        </is>
      </c>
      <c r="V34">
        <f>HYPERLINK("https://klasma.github.io/Logging_0834/artfynd/A 16467-2026 artfynd.xlsx", "A 16467-2026")</f>
        <v/>
      </c>
      <c r="W34">
        <f>HYPERLINK("https://klasma.github.io/Logging_0834/kartor/A 16467-2026 karta.png", "A 16467-2026")</f>
        <v/>
      </c>
      <c r="Y34">
        <f>HYPERLINK("https://klasma.github.io/Logging_0834/klagomål/A 16467-2026 FSC-klagomål.docx", "A 16467-2026")</f>
        <v/>
      </c>
      <c r="Z34">
        <f>HYPERLINK("https://klasma.github.io/Logging_0834/klagomålsmail/A 16467-2026 FSC-klagomål mail.docx", "A 16467-2026")</f>
        <v/>
      </c>
      <c r="AA34">
        <f>HYPERLINK("https://klasma.github.io/Logging_0834/tillsyn/A 16467-2026 tillsynsbegäran.docx", "A 16467-2026")</f>
        <v/>
      </c>
      <c r="AB34">
        <f>HYPERLINK("https://klasma.github.io/Logging_0834/tillsynsmail/A 16467-2026 tillsynsbegäran mail.docx", "A 16467-2026")</f>
        <v/>
      </c>
    </row>
    <row r="35" ht="15" customHeight="1">
      <c r="A35" t="inlineStr">
        <is>
          <t>A 9688-2023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44984</v>
      </c>
      <c r="E35" s="1" t="n">
        <v>46222</v>
      </c>
      <c r="F35" t="inlineStr">
        <is>
          <t>KALMAR LÄN</t>
        </is>
      </c>
      <c r="G35" t="inlineStr">
        <is>
          <t>TORSÅS</t>
        </is>
      </c>
      <c r="I35" t="n">
        <v>3.3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Gullviva</t>
        </is>
      </c>
      <c r="V35">
        <f>HYPERLINK("https://klasma.github.io/Logging_0834/artfynd/A 9688-2023 artfynd.xlsx", "A 9688-2023")</f>
        <v/>
      </c>
      <c r="W35">
        <f>HYPERLINK("https://klasma.github.io/Logging_0834/kartor/A 9688-2023 karta.png", "A 9688-2023")</f>
        <v/>
      </c>
      <c r="Y35">
        <f>HYPERLINK("https://klasma.github.io/Logging_0834/klagomål/A 9688-2023 FSC-klagomål.docx", "A 9688-2023")</f>
        <v/>
      </c>
      <c r="Z35">
        <f>HYPERLINK("https://klasma.github.io/Logging_0834/klagomålsmail/A 9688-2023 FSC-klagomål mail.docx", "A 9688-2023")</f>
        <v/>
      </c>
      <c r="AA35">
        <f>HYPERLINK("https://klasma.github.io/Logging_0834/tillsyn/A 9688-2023 tillsynsbegäran.docx", "A 9688-2023")</f>
        <v/>
      </c>
      <c r="AB35">
        <f>HYPERLINK("https://klasma.github.io/Logging_0834/tillsynsmail/A 9688-2023 tillsynsbegäran mail.docx", "A 9688-2023")</f>
        <v/>
      </c>
    </row>
    <row r="36" ht="15" customHeight="1">
      <c r="A36" t="inlineStr">
        <is>
          <t>A 5755-2022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46222</v>
      </c>
      <c r="F36" t="inlineStr">
        <is>
          <t>KALMAR LÄN</t>
        </is>
      </c>
      <c r="G36" t="inlineStr">
        <is>
          <t>TORSÅS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Åkerkål</t>
        </is>
      </c>
      <c r="V36">
        <f>HYPERLINK("https://klasma.github.io/Logging_0834/artfynd/A 5755-2022 artfynd.xlsx", "A 5755-2022")</f>
        <v/>
      </c>
      <c r="W36">
        <f>HYPERLINK("https://klasma.github.io/Logging_0834/kartor/A 5755-2022 karta.png", "A 5755-2022")</f>
        <v/>
      </c>
      <c r="Y36">
        <f>HYPERLINK("https://klasma.github.io/Logging_0834/klagomål/A 5755-2022 FSC-klagomål.docx", "A 5755-2022")</f>
        <v/>
      </c>
      <c r="Z36">
        <f>HYPERLINK("https://klasma.github.io/Logging_0834/klagomålsmail/A 5755-2022 FSC-klagomål mail.docx", "A 5755-2022")</f>
        <v/>
      </c>
      <c r="AA36">
        <f>HYPERLINK("https://klasma.github.io/Logging_0834/tillsyn/A 5755-2022 tillsynsbegäran.docx", "A 5755-2022")</f>
        <v/>
      </c>
      <c r="AB36">
        <f>HYPERLINK("https://klasma.github.io/Logging_0834/tillsynsmail/A 5755-2022 tillsynsbegäran mail.docx", "A 5755-2022")</f>
        <v/>
      </c>
    </row>
    <row r="37" ht="15" customHeight="1">
      <c r="A37" t="inlineStr">
        <is>
          <t>A 59361-2023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45253</v>
      </c>
      <c r="E37" s="1" t="n">
        <v>46222</v>
      </c>
      <c r="F37" t="inlineStr">
        <is>
          <t>KALMAR LÄN</t>
        </is>
      </c>
      <c r="G37" t="inlineStr">
        <is>
          <t>TORSÅS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Murgröna</t>
        </is>
      </c>
      <c r="V37">
        <f>HYPERLINK("https://klasma.github.io/Logging_0834/artfynd/A 59361-2023 artfynd.xlsx", "A 59361-2023")</f>
        <v/>
      </c>
      <c r="W37">
        <f>HYPERLINK("https://klasma.github.io/Logging_0834/kartor/A 59361-2023 karta.png", "A 59361-2023")</f>
        <v/>
      </c>
      <c r="Y37">
        <f>HYPERLINK("https://klasma.github.io/Logging_0834/klagomål/A 59361-2023 FSC-klagomål.docx", "A 59361-2023")</f>
        <v/>
      </c>
      <c r="Z37">
        <f>HYPERLINK("https://klasma.github.io/Logging_0834/klagomålsmail/A 59361-2023 FSC-klagomål mail.docx", "A 59361-2023")</f>
        <v/>
      </c>
      <c r="AA37">
        <f>HYPERLINK("https://klasma.github.io/Logging_0834/tillsyn/A 59361-2023 tillsynsbegäran.docx", "A 59361-2023")</f>
        <v/>
      </c>
      <c r="AB37">
        <f>HYPERLINK("https://klasma.github.io/Logging_0834/tillsynsmail/A 59361-2023 tillsynsbegäran mail.docx", "A 59361-2023")</f>
        <v/>
      </c>
    </row>
    <row r="38" ht="15" customHeight="1">
      <c r="A38" t="inlineStr">
        <is>
          <t>A 36625-2022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44804</v>
      </c>
      <c r="E38" s="1" t="n">
        <v>46222</v>
      </c>
      <c r="F38" t="inlineStr">
        <is>
          <t>KALMAR LÄN</t>
        </is>
      </c>
      <c r="G38" t="inlineStr">
        <is>
          <t>TORSÅS</t>
        </is>
      </c>
      <c r="I38" t="n">
        <v>7.5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Stor revmossa</t>
        </is>
      </c>
      <c r="V38">
        <f>HYPERLINK("https://klasma.github.io/Logging_0834/artfynd/A 36625-2022 artfynd.xlsx", "A 36625-2022")</f>
        <v/>
      </c>
      <c r="W38">
        <f>HYPERLINK("https://klasma.github.io/Logging_0834/kartor/A 36625-2022 karta.png", "A 36625-2022")</f>
        <v/>
      </c>
      <c r="Y38">
        <f>HYPERLINK("https://klasma.github.io/Logging_0834/klagomål/A 36625-2022 FSC-klagomål.docx", "A 36625-2022")</f>
        <v/>
      </c>
      <c r="Z38">
        <f>HYPERLINK("https://klasma.github.io/Logging_0834/klagomålsmail/A 36625-2022 FSC-klagomål mail.docx", "A 36625-2022")</f>
        <v/>
      </c>
      <c r="AA38">
        <f>HYPERLINK("https://klasma.github.io/Logging_0834/tillsyn/A 36625-2022 tillsynsbegäran.docx", "A 36625-2022")</f>
        <v/>
      </c>
      <c r="AB38">
        <f>HYPERLINK("https://klasma.github.io/Logging_0834/tillsynsmail/A 36625-2022 tillsynsbegäran mail.docx", "A 36625-2022")</f>
        <v/>
      </c>
    </row>
    <row r="39" ht="15" customHeight="1">
      <c r="A39" t="inlineStr">
        <is>
          <t>A 24157-2023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45079</v>
      </c>
      <c r="E39" s="1" t="n">
        <v>46222</v>
      </c>
      <c r="F39" t="inlineStr">
        <is>
          <t>KALMAR LÄN</t>
        </is>
      </c>
      <c r="G39" t="inlineStr">
        <is>
          <t>TORSÅS</t>
        </is>
      </c>
      <c r="I39" t="n">
        <v>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Grovticka</t>
        </is>
      </c>
      <c r="V39">
        <f>HYPERLINK("https://klasma.github.io/Logging_0834/artfynd/A 24157-2023 artfynd.xlsx", "A 24157-2023")</f>
        <v/>
      </c>
      <c r="W39">
        <f>HYPERLINK("https://klasma.github.io/Logging_0834/kartor/A 24157-2023 karta.png", "A 24157-2023")</f>
        <v/>
      </c>
      <c r="Y39">
        <f>HYPERLINK("https://klasma.github.io/Logging_0834/klagomål/A 24157-2023 FSC-klagomål.docx", "A 24157-2023")</f>
        <v/>
      </c>
      <c r="Z39">
        <f>HYPERLINK("https://klasma.github.io/Logging_0834/klagomålsmail/A 24157-2023 FSC-klagomål mail.docx", "A 24157-2023")</f>
        <v/>
      </c>
      <c r="AA39">
        <f>HYPERLINK("https://klasma.github.io/Logging_0834/tillsyn/A 24157-2023 tillsynsbegäran.docx", "A 24157-2023")</f>
        <v/>
      </c>
      <c r="AB39">
        <f>HYPERLINK("https://klasma.github.io/Logging_0834/tillsynsmail/A 24157-2023 tillsynsbegäran mail.docx", "A 24157-2023")</f>
        <v/>
      </c>
    </row>
    <row r="40" ht="15" customHeight="1">
      <c r="A40" t="inlineStr">
        <is>
          <t>A 2277-2023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44942</v>
      </c>
      <c r="E40" s="1" t="n">
        <v>46222</v>
      </c>
      <c r="F40" t="inlineStr">
        <is>
          <t>KALMAR LÄN</t>
        </is>
      </c>
      <c r="G40" t="inlineStr">
        <is>
          <t>TORSÅS</t>
        </is>
      </c>
      <c r="I40" t="n">
        <v>3.5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Hasselmus</t>
        </is>
      </c>
      <c r="V40">
        <f>HYPERLINK("https://klasma.github.io/Logging_0834/artfynd/A 2277-2023 artfynd.xlsx", "A 2277-2023")</f>
        <v/>
      </c>
      <c r="W40">
        <f>HYPERLINK("https://klasma.github.io/Logging_0834/kartor/A 2277-2023 karta.png", "A 2277-2023")</f>
        <v/>
      </c>
      <c r="Y40">
        <f>HYPERLINK("https://klasma.github.io/Logging_0834/klagomål/A 2277-2023 FSC-klagomål.docx", "A 2277-2023")</f>
        <v/>
      </c>
      <c r="Z40">
        <f>HYPERLINK("https://klasma.github.io/Logging_0834/klagomålsmail/A 2277-2023 FSC-klagomål mail.docx", "A 2277-2023")</f>
        <v/>
      </c>
      <c r="AA40">
        <f>HYPERLINK("https://klasma.github.io/Logging_0834/tillsyn/A 2277-2023 tillsynsbegäran.docx", "A 2277-2023")</f>
        <v/>
      </c>
      <c r="AB40">
        <f>HYPERLINK("https://klasma.github.io/Logging_0834/tillsynsmail/A 2277-2023 tillsynsbegäran mail.docx", "A 2277-2023")</f>
        <v/>
      </c>
    </row>
    <row r="41" ht="15" customHeight="1">
      <c r="A41" t="inlineStr">
        <is>
          <t>A 52071-2023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45223</v>
      </c>
      <c r="E41" s="1" t="n">
        <v>46222</v>
      </c>
      <c r="F41" t="inlineStr">
        <is>
          <t>KALMAR LÄN</t>
        </is>
      </c>
      <c r="G41" t="inlineStr">
        <is>
          <t>TORSÅS</t>
        </is>
      </c>
      <c r="I41" t="n">
        <v>2.8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s="2" t="inlineStr">
        <is>
          <t>Gullviva</t>
        </is>
      </c>
      <c r="V41">
        <f>HYPERLINK("https://klasma.github.io/Logging_0834/artfynd/A 52071-2023 artfynd.xlsx", "A 52071-2023")</f>
        <v/>
      </c>
      <c r="W41">
        <f>HYPERLINK("https://klasma.github.io/Logging_0834/kartor/A 52071-2023 karta.png", "A 52071-2023")</f>
        <v/>
      </c>
      <c r="Y41">
        <f>HYPERLINK("https://klasma.github.io/Logging_0834/klagomål/A 52071-2023 FSC-klagomål.docx", "A 52071-2023")</f>
        <v/>
      </c>
      <c r="Z41">
        <f>HYPERLINK("https://klasma.github.io/Logging_0834/klagomålsmail/A 52071-2023 FSC-klagomål mail.docx", "A 52071-2023")</f>
        <v/>
      </c>
      <c r="AA41">
        <f>HYPERLINK("https://klasma.github.io/Logging_0834/tillsyn/A 52071-2023 tillsynsbegäran.docx", "A 52071-2023")</f>
        <v/>
      </c>
      <c r="AB41">
        <f>HYPERLINK("https://klasma.github.io/Logging_0834/tillsynsmail/A 52071-2023 tillsynsbegäran mail.docx", "A 52071-2023")</f>
        <v/>
      </c>
    </row>
    <row r="42" ht="15" customHeight="1">
      <c r="A42" t="inlineStr">
        <is>
          <t>A 24513-2026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46170</v>
      </c>
      <c r="E42" s="1" t="n">
        <v>46222</v>
      </c>
      <c r="F42" t="inlineStr">
        <is>
          <t>KALMAR LÄN</t>
        </is>
      </c>
      <c r="G42" t="inlineStr">
        <is>
          <t>TORSÅS</t>
        </is>
      </c>
      <c r="I42" t="n">
        <v>1.6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Gullviva</t>
        </is>
      </c>
      <c r="V42">
        <f>HYPERLINK("https://klasma.github.io/Logging_0834/artfynd/A 24513-2026 artfynd.xlsx", "A 24513-2026")</f>
        <v/>
      </c>
      <c r="W42">
        <f>HYPERLINK("https://klasma.github.io/Logging_0834/kartor/A 24513-2026 karta.png", "A 24513-2026")</f>
        <v/>
      </c>
      <c r="Y42">
        <f>HYPERLINK("https://klasma.github.io/Logging_0834/klagomål/A 24513-2026 FSC-klagomål.docx", "A 24513-2026")</f>
        <v/>
      </c>
      <c r="Z42">
        <f>HYPERLINK("https://klasma.github.io/Logging_0834/klagomålsmail/A 24513-2026 FSC-klagomål mail.docx", "A 24513-2026")</f>
        <v/>
      </c>
      <c r="AA42">
        <f>HYPERLINK("https://klasma.github.io/Logging_0834/tillsyn/A 24513-2026 tillsynsbegäran.docx", "A 24513-2026")</f>
        <v/>
      </c>
      <c r="AB42">
        <f>HYPERLINK("https://klasma.github.io/Logging_0834/tillsynsmail/A 24513-2026 tillsynsbegäran mail.docx", "A 24513-2026")</f>
        <v/>
      </c>
    </row>
    <row r="43" ht="15" customHeight="1">
      <c r="A43" t="inlineStr">
        <is>
          <t>A 44226-2024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45573</v>
      </c>
      <c r="E43" s="1" t="n">
        <v>46222</v>
      </c>
      <c r="F43" t="inlineStr">
        <is>
          <t>KALMAR LÄN</t>
        </is>
      </c>
      <c r="G43" t="inlineStr">
        <is>
          <t>TORSÅS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Ask</t>
        </is>
      </c>
      <c r="V43">
        <f>HYPERLINK("https://klasma.github.io/Logging_0834/artfynd/A 44226-2024 artfynd.xlsx", "A 44226-2024")</f>
        <v/>
      </c>
      <c r="W43">
        <f>HYPERLINK("https://klasma.github.io/Logging_0834/kartor/A 44226-2024 karta.png", "A 44226-2024")</f>
        <v/>
      </c>
      <c r="Y43">
        <f>HYPERLINK("https://klasma.github.io/Logging_0834/klagomål/A 44226-2024 FSC-klagomål.docx", "A 44226-2024")</f>
        <v/>
      </c>
      <c r="Z43">
        <f>HYPERLINK("https://klasma.github.io/Logging_0834/klagomålsmail/A 44226-2024 FSC-klagomål mail.docx", "A 44226-2024")</f>
        <v/>
      </c>
      <c r="AA43">
        <f>HYPERLINK("https://klasma.github.io/Logging_0834/tillsyn/A 44226-2024 tillsynsbegäran.docx", "A 44226-2024")</f>
        <v/>
      </c>
      <c r="AB43">
        <f>HYPERLINK("https://klasma.github.io/Logging_0834/tillsynsmail/A 44226-2024 tillsynsbegäran mail.docx", "A 44226-2024")</f>
        <v/>
      </c>
    </row>
    <row r="44" ht="15" customHeight="1">
      <c r="A44" t="inlineStr">
        <is>
          <t>S 4235-2023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45253</v>
      </c>
      <c r="E44" s="1" t="n">
        <v>46222</v>
      </c>
      <c r="F44" t="inlineStr">
        <is>
          <t>KALMAR LÄN</t>
        </is>
      </c>
      <c r="G44" t="inlineStr">
        <is>
          <t>TORSÅS</t>
        </is>
      </c>
      <c r="I44" t="n">
        <v>1.7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Murgröna</t>
        </is>
      </c>
      <c r="V44">
        <f>HYPERLINK("https://klasma.github.io/Logging_0834/artfynd/S 4235-2023 artfynd.xlsx", "S 4235-2023")</f>
        <v/>
      </c>
      <c r="W44">
        <f>HYPERLINK("https://klasma.github.io/Logging_0834/kartor/S 4235-2023 karta.png", "S 4235-2023")</f>
        <v/>
      </c>
      <c r="Y44">
        <f>HYPERLINK("https://klasma.github.io/Logging_0834/klagomål/S 4235-2023 FSC-klagomål.docx", "S 4235-2023")</f>
        <v/>
      </c>
      <c r="Z44">
        <f>HYPERLINK("https://klasma.github.io/Logging_0834/klagomålsmail/S 4235-2023 FSC-klagomål mail.docx", "S 4235-2023")</f>
        <v/>
      </c>
      <c r="AA44">
        <f>HYPERLINK("https://klasma.github.io/Logging_0834/tillsyn/S 4235-2023 tillsynsbegäran.docx", "S 4235-2023")</f>
        <v/>
      </c>
      <c r="AB44">
        <f>HYPERLINK("https://klasma.github.io/Logging_0834/tillsynsmail/S 4235-2023 tillsynsbegäran mail.docx", "S 4235-2023")</f>
        <v/>
      </c>
    </row>
    <row r="45" ht="15" customHeight="1">
      <c r="A45" t="inlineStr">
        <is>
          <t>S 1065-2024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45387</v>
      </c>
      <c r="E45" s="1" t="n">
        <v>46222</v>
      </c>
      <c r="F45" t="inlineStr">
        <is>
          <t>KALMAR LÄN</t>
        </is>
      </c>
      <c r="G45" t="inlineStr">
        <is>
          <t>TORSÅS</t>
        </is>
      </c>
      <c r="I45" t="n">
        <v>44.1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Fläcknycklar</t>
        </is>
      </c>
      <c r="V45">
        <f>HYPERLINK("https://klasma.github.io/Logging_0834/artfynd/S 1065-2024 artfynd.xlsx", "S 1065-2024")</f>
        <v/>
      </c>
      <c r="W45">
        <f>HYPERLINK("https://klasma.github.io/Logging_0834/kartor/S 1065-2024 karta.png", "S 1065-2024")</f>
        <v/>
      </c>
      <c r="Y45">
        <f>HYPERLINK("https://klasma.github.io/Logging_0834/klagomål/S 1065-2024 FSC-klagomål.docx", "S 1065-2024")</f>
        <v/>
      </c>
      <c r="Z45">
        <f>HYPERLINK("https://klasma.github.io/Logging_0834/klagomålsmail/S 1065-2024 FSC-klagomål mail.docx", "S 1065-2024")</f>
        <v/>
      </c>
      <c r="AA45">
        <f>HYPERLINK("https://klasma.github.io/Logging_0834/tillsyn/S 1065-2024 tillsynsbegäran.docx", "S 1065-2024")</f>
        <v/>
      </c>
      <c r="AB45">
        <f>HYPERLINK("https://klasma.github.io/Logging_0834/tillsynsmail/S 1065-2024 tillsynsbegäran mail.docx", "S 1065-2024")</f>
        <v/>
      </c>
    </row>
    <row r="46" ht="15" customHeight="1">
      <c r="A46" t="inlineStr">
        <is>
          <t>S 1845-2024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45440</v>
      </c>
      <c r="E46" s="1" t="n">
        <v>46222</v>
      </c>
      <c r="F46" t="inlineStr">
        <is>
          <t>KALMAR LÄN</t>
        </is>
      </c>
      <c r="G46" t="inlineStr">
        <is>
          <t>TORSÅS</t>
        </is>
      </c>
      <c r="I46" t="n">
        <v>14.6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Långbensgroda</t>
        </is>
      </c>
      <c r="V46">
        <f>HYPERLINK("https://klasma.github.io/Logging_0834/artfynd/S 1845-2024 artfynd.xlsx", "S 1845-2024")</f>
        <v/>
      </c>
      <c r="W46">
        <f>HYPERLINK("https://klasma.github.io/Logging_0834/kartor/S 1845-2024 karta.png", "S 1845-2024")</f>
        <v/>
      </c>
      <c r="Y46">
        <f>HYPERLINK("https://klasma.github.io/Logging_0834/klagomål/S 1845-2024 FSC-klagomål.docx", "S 1845-2024")</f>
        <v/>
      </c>
      <c r="Z46">
        <f>HYPERLINK("https://klasma.github.io/Logging_0834/klagomålsmail/S 1845-2024 FSC-klagomål mail.docx", "S 1845-2024")</f>
        <v/>
      </c>
      <c r="AA46">
        <f>HYPERLINK("https://klasma.github.io/Logging_0834/tillsyn/S 1845-2024 tillsynsbegäran.docx", "S 1845-2024")</f>
        <v/>
      </c>
      <c r="AB46">
        <f>HYPERLINK("https://klasma.github.io/Logging_0834/tillsynsmail/S 1845-2024 tillsynsbegäran mail.docx", "S 1845-2024")</f>
        <v/>
      </c>
    </row>
    <row r="47" ht="15" customHeight="1">
      <c r="A47" t="inlineStr">
        <is>
          <t>S 298-2025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45687</v>
      </c>
      <c r="E47" s="1" t="n">
        <v>46222</v>
      </c>
      <c r="F47" t="inlineStr">
        <is>
          <t>KALMAR LÄN</t>
        </is>
      </c>
      <c r="G47" t="inlineStr">
        <is>
          <t>TORSÅS</t>
        </is>
      </c>
      <c r="I47" t="n">
        <v>14.3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Åkerkulla</t>
        </is>
      </c>
      <c r="V47">
        <f>HYPERLINK("https://klasma.github.io/Logging_0834/artfynd/S 298-2025 artfynd.xlsx", "S 298-2025")</f>
        <v/>
      </c>
      <c r="W47">
        <f>HYPERLINK("https://klasma.github.io/Logging_0834/kartor/S 298-2025 karta.png", "S 298-2025")</f>
        <v/>
      </c>
      <c r="Y47">
        <f>HYPERLINK("https://klasma.github.io/Logging_0834/klagomål/S 298-2025 FSC-klagomål.docx", "S 298-2025")</f>
        <v/>
      </c>
      <c r="Z47">
        <f>HYPERLINK("https://klasma.github.io/Logging_0834/klagomålsmail/S 298-2025 FSC-klagomål mail.docx", "S 298-2025")</f>
        <v/>
      </c>
      <c r="AA47">
        <f>HYPERLINK("https://klasma.github.io/Logging_0834/tillsyn/S 298-2025 tillsynsbegäran.docx", "S 298-2025")</f>
        <v/>
      </c>
      <c r="AB47">
        <f>HYPERLINK("https://klasma.github.io/Logging_0834/tillsynsmail/S 298-2025 tillsynsbegäran mail.docx", "S 298-2025")</f>
        <v/>
      </c>
    </row>
    <row r="48" ht="15" customHeight="1">
      <c r="A48" t="inlineStr">
        <is>
          <t>S 595-2023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44971</v>
      </c>
      <c r="E48" s="1" t="n">
        <v>46222</v>
      </c>
      <c r="F48" t="inlineStr">
        <is>
          <t>KALMAR LÄN</t>
        </is>
      </c>
      <c r="G48" t="inlineStr">
        <is>
          <t>TORSÅS</t>
        </is>
      </c>
      <c r="I48" t="n">
        <v>68.8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Tjäder</t>
        </is>
      </c>
      <c r="V48">
        <f>HYPERLINK("https://klasma.github.io/Logging_0834/artfynd/S 595-2023 artfynd.xlsx", "S 595-2023")</f>
        <v/>
      </c>
      <c r="W48">
        <f>HYPERLINK("https://klasma.github.io/Logging_0834/kartor/S 595-2023 karta.png", "S 595-2023")</f>
        <v/>
      </c>
      <c r="Y48">
        <f>HYPERLINK("https://klasma.github.io/Logging_0834/klagomål/S 595-2023 FSC-klagomål.docx", "S 595-2023")</f>
        <v/>
      </c>
      <c r="Z48">
        <f>HYPERLINK("https://klasma.github.io/Logging_0834/klagomålsmail/S 595-2023 FSC-klagomål mail.docx", "S 595-2023")</f>
        <v/>
      </c>
      <c r="AA48">
        <f>HYPERLINK("https://klasma.github.io/Logging_0834/tillsyn/S 595-2023 tillsynsbegäran.docx", "S 595-2023")</f>
        <v/>
      </c>
      <c r="AB48">
        <f>HYPERLINK("https://klasma.github.io/Logging_0834/tillsynsmail/S 595-2023 tillsynsbegäran mail.docx", "S 595-2023")</f>
        <v/>
      </c>
      <c r="AC48">
        <f>HYPERLINK("https://klasma.github.io/Logging_0834/fåglar/S 595-2023 prioriterade fågelarter.docx", "S 595-2023")</f>
        <v/>
      </c>
    </row>
    <row r="49" ht="15" customHeight="1">
      <c r="A49" t="inlineStr">
        <is>
          <t>S 1054-2024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45387</v>
      </c>
      <c r="E49" s="1" t="n">
        <v>46222</v>
      </c>
      <c r="F49" t="inlineStr">
        <is>
          <t>KALMAR LÄN</t>
        </is>
      </c>
      <c r="G49" t="inlineStr">
        <is>
          <t>TORSÅS</t>
        </is>
      </c>
      <c r="I49" t="n">
        <v>26.1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Revlummer</t>
        </is>
      </c>
      <c r="V49">
        <f>HYPERLINK("https://klasma.github.io/Logging_0834/artfynd/S 1054-2024 artfynd.xlsx", "S 1054-2024")</f>
        <v/>
      </c>
      <c r="W49">
        <f>HYPERLINK("https://klasma.github.io/Logging_0834/kartor/S 1054-2024 karta.png", "S 1054-2024")</f>
        <v/>
      </c>
      <c r="Y49">
        <f>HYPERLINK("https://klasma.github.io/Logging_0834/klagomål/S 1054-2024 FSC-klagomål.docx", "S 1054-2024")</f>
        <v/>
      </c>
      <c r="Z49">
        <f>HYPERLINK("https://klasma.github.io/Logging_0834/klagomålsmail/S 1054-2024 FSC-klagomål mail.docx", "S 1054-2024")</f>
        <v/>
      </c>
      <c r="AA49">
        <f>HYPERLINK("https://klasma.github.io/Logging_0834/tillsyn/S 1054-2024 tillsynsbegäran.docx", "S 1054-2024")</f>
        <v/>
      </c>
      <c r="AB49">
        <f>HYPERLINK("https://klasma.github.io/Logging_0834/tillsynsmail/S 1054-2024 tillsynsbegäran mail.docx", "S 1054-2024")</f>
        <v/>
      </c>
    </row>
    <row r="50" ht="15" customHeight="1">
      <c r="A50" t="inlineStr">
        <is>
          <t>S 586-2026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46084</v>
      </c>
      <c r="E50" s="1" t="n">
        <v>46222</v>
      </c>
      <c r="F50" t="inlineStr">
        <is>
          <t>KALMAR LÄN</t>
        </is>
      </c>
      <c r="G50" t="inlineStr">
        <is>
          <t>TORSÅS</t>
        </is>
      </c>
      <c r="I50" t="n">
        <v>40.4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Tallticka</t>
        </is>
      </c>
      <c r="V50">
        <f>HYPERLINK("https://klasma.github.io/Logging_0834/artfynd/S 586-2026 artfynd.xlsx", "S 586-2026")</f>
        <v/>
      </c>
      <c r="W50">
        <f>HYPERLINK("https://klasma.github.io/Logging_0834/kartor/S 586-2026 karta.png", "S 586-2026")</f>
        <v/>
      </c>
      <c r="Y50">
        <f>HYPERLINK("https://klasma.github.io/Logging_0834/klagomål/S 586-2026 FSC-klagomål.docx", "S 586-2026")</f>
        <v/>
      </c>
      <c r="Z50">
        <f>HYPERLINK("https://klasma.github.io/Logging_0834/klagomålsmail/S 586-2026 FSC-klagomål mail.docx", "S 586-2026")</f>
        <v/>
      </c>
      <c r="AA50">
        <f>HYPERLINK("https://klasma.github.io/Logging_0834/tillsyn/S 586-2026 tillsynsbegäran.docx", "S 586-2026")</f>
        <v/>
      </c>
      <c r="AB50">
        <f>HYPERLINK("https://klasma.github.io/Logging_0834/tillsynsmail/S 586-2026 tillsynsbegäran mail.docx", "S 586-2026")</f>
        <v/>
      </c>
    </row>
    <row r="51" ht="15" customHeight="1">
      <c r="A51" t="inlineStr">
        <is>
          <t>A 44580-2022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44840</v>
      </c>
      <c r="E51" s="1" t="n">
        <v>46222</v>
      </c>
      <c r="F51" t="inlineStr">
        <is>
          <t>KALMAR LÄN</t>
        </is>
      </c>
      <c r="G51" t="inlineStr">
        <is>
          <t>TORSÅS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44457</v>
      </c>
      <c r="E52" s="1" t="n">
        <v>46222</v>
      </c>
      <c r="F52" t="inlineStr">
        <is>
          <t>KALMAR LÄN</t>
        </is>
      </c>
      <c r="G52" t="inlineStr">
        <is>
          <t>TORSÅS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8509-2022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46222</v>
      </c>
      <c r="F53" t="inlineStr">
        <is>
          <t>KALMAR LÄN</t>
        </is>
      </c>
      <c r="G53" t="inlineStr">
        <is>
          <t>TORSÅS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44103-2021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46222</v>
      </c>
      <c r="F54" t="inlineStr">
        <is>
          <t>KALMAR LÄN</t>
        </is>
      </c>
      <c r="G54" t="inlineStr">
        <is>
          <t>TORSÅS</t>
        </is>
      </c>
      <c r="I54" t="n">
        <v>6.2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44213-2021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46222</v>
      </c>
      <c r="F55" t="inlineStr">
        <is>
          <t>KALMAR LÄN</t>
        </is>
      </c>
      <c r="G55" t="inlineStr">
        <is>
          <t>TORSÅS</t>
        </is>
      </c>
      <c r="H55" t="inlineStr">
        <is>
          <t>Övriga Aktiebolag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54449-2021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44473</v>
      </c>
      <c r="E56" s="1" t="n">
        <v>46222</v>
      </c>
      <c r="F56" t="inlineStr">
        <is>
          <t>KALMAR LÄN</t>
        </is>
      </c>
      <c r="G56" t="inlineStr">
        <is>
          <t>TORSÅS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10037-2022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46222</v>
      </c>
      <c r="F57" t="inlineStr">
        <is>
          <t>KALMAR LÄN</t>
        </is>
      </c>
      <c r="G57" t="inlineStr">
        <is>
          <t>TORSÅS</t>
        </is>
      </c>
      <c r="I57" t="n">
        <v>27.2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55754-2021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44476</v>
      </c>
      <c r="E58" s="1" t="n">
        <v>46222</v>
      </c>
      <c r="F58" t="inlineStr">
        <is>
          <t>KALMAR LÄN</t>
        </is>
      </c>
      <c r="G58" t="inlineStr">
        <is>
          <t>TORSÅS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50211-2021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44457</v>
      </c>
      <c r="E59" s="1" t="n">
        <v>46222</v>
      </c>
      <c r="F59" t="inlineStr">
        <is>
          <t>KALMAR LÄN</t>
        </is>
      </c>
      <c r="G59" t="inlineStr">
        <is>
          <t>TORSÅS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30647-2022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44763</v>
      </c>
      <c r="E60" s="1" t="n">
        <v>46222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45798-2022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44846</v>
      </c>
      <c r="E61" s="1" t="n">
        <v>46222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4646-2022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44592</v>
      </c>
      <c r="E62" s="1" t="n">
        <v>46222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68873-2021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46222</v>
      </c>
      <c r="F63" t="inlineStr">
        <is>
          <t>KALMAR LÄN</t>
        </is>
      </c>
      <c r="G63" t="inlineStr">
        <is>
          <t>TORSÅS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44117-2022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44839</v>
      </c>
      <c r="E64" s="1" t="n">
        <v>46222</v>
      </c>
      <c r="F64" t="inlineStr">
        <is>
          <t>KALMAR LÄN</t>
        </is>
      </c>
      <c r="G64" t="inlineStr">
        <is>
          <t>TORSÅS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3664-2022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44586</v>
      </c>
      <c r="E65" s="1" t="n">
        <v>46222</v>
      </c>
      <c r="F65" t="inlineStr">
        <is>
          <t>KALMAR LÄN</t>
        </is>
      </c>
      <c r="G65" t="inlineStr">
        <is>
          <t>TORSÅS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49683-2022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44862</v>
      </c>
      <c r="E66" s="1" t="n">
        <v>46222</v>
      </c>
      <c r="F66" t="inlineStr">
        <is>
          <t>KALMAR LÄN</t>
        </is>
      </c>
      <c r="G66" t="inlineStr">
        <is>
          <t>TORSÅS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50209-2021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44457</v>
      </c>
      <c r="E67" s="1" t="n">
        <v>46222</v>
      </c>
      <c r="F67" t="inlineStr">
        <is>
          <t>KALMAR LÄN</t>
        </is>
      </c>
      <c r="G67" t="inlineStr">
        <is>
          <t>TORSÅS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44592</v>
      </c>
      <c r="E68" s="1" t="n">
        <v>46222</v>
      </c>
      <c r="F68" t="inlineStr">
        <is>
          <t>KALMAR LÄN</t>
        </is>
      </c>
      <c r="G68" t="inlineStr">
        <is>
          <t>TORSÅS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54748-2022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44883</v>
      </c>
      <c r="E69" s="1" t="n">
        <v>46222</v>
      </c>
      <c r="F69" t="inlineStr">
        <is>
          <t>KALMAR LÄN</t>
        </is>
      </c>
      <c r="G69" t="inlineStr">
        <is>
          <t>TORSÅS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50112-2022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46222</v>
      </c>
      <c r="F70" t="inlineStr">
        <is>
          <t>KALMAR LÄN</t>
        </is>
      </c>
      <c r="G70" t="inlineStr">
        <is>
          <t>TORSÅS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5389-2022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44595</v>
      </c>
      <c r="E71" s="1" t="n">
        <v>46222</v>
      </c>
      <c r="F71" t="inlineStr">
        <is>
          <t>KALMAR LÄN</t>
        </is>
      </c>
      <c r="G71" t="inlineStr">
        <is>
          <t>TORSÅS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52886-2021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44467</v>
      </c>
      <c r="E72" s="1" t="n">
        <v>46222</v>
      </c>
      <c r="F72" t="inlineStr">
        <is>
          <t>KALMAR LÄN</t>
        </is>
      </c>
      <c r="G72" t="inlineStr">
        <is>
          <t>TORSÅS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52889-2021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46222</v>
      </c>
      <c r="F73" t="inlineStr">
        <is>
          <t>KALMAR LÄN</t>
        </is>
      </c>
      <c r="G73" t="inlineStr">
        <is>
          <t>TORSÅS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48686-2021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44452</v>
      </c>
      <c r="E74" s="1" t="n">
        <v>46222</v>
      </c>
      <c r="F74" t="inlineStr">
        <is>
          <t>KALMAR LÄN</t>
        </is>
      </c>
      <c r="G74" t="inlineStr">
        <is>
          <t>TORSÅS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58920-2021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44489</v>
      </c>
      <c r="E75" s="1" t="n">
        <v>46222</v>
      </c>
      <c r="F75" t="inlineStr">
        <is>
          <t>KALMAR LÄN</t>
        </is>
      </c>
      <c r="G75" t="inlineStr">
        <is>
          <t>TORSÅS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65912-2021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44517</v>
      </c>
      <c r="E76" s="1" t="n">
        <v>46222</v>
      </c>
      <c r="F76" t="inlineStr">
        <is>
          <t>KALMAR LÄN</t>
        </is>
      </c>
      <c r="G76" t="inlineStr">
        <is>
          <t>TORSÅS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46222</v>
      </c>
      <c r="F77" t="inlineStr">
        <is>
          <t>KALMAR LÄN</t>
        </is>
      </c>
      <c r="G77" t="inlineStr">
        <is>
          <t>TORSÅS</t>
        </is>
      </c>
      <c r="I77" t="n">
        <v>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52470-2021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46222</v>
      </c>
      <c r="F78" t="inlineStr">
        <is>
          <t>KALMAR LÄN</t>
        </is>
      </c>
      <c r="G78" t="inlineStr">
        <is>
          <t>TORSÅS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55288-2021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44475</v>
      </c>
      <c r="E79" s="1" t="n">
        <v>46222</v>
      </c>
      <c r="F79" t="inlineStr">
        <is>
          <t>KALMAR LÄN</t>
        </is>
      </c>
      <c r="G79" t="inlineStr">
        <is>
          <t>TORSÅS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44564</v>
      </c>
      <c r="E80" s="1" t="n">
        <v>46222</v>
      </c>
      <c r="F80" t="inlineStr">
        <is>
          <t>KALMAR LÄN</t>
        </is>
      </c>
      <c r="G80" t="inlineStr">
        <is>
          <t>TORSÅS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64991-2021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44514</v>
      </c>
      <c r="E81" s="1" t="n">
        <v>46222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69679-2021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44532</v>
      </c>
      <c r="E82" s="1" t="n">
        <v>46222</v>
      </c>
      <c r="F82" t="inlineStr">
        <is>
          <t>KALMAR LÄN</t>
        </is>
      </c>
      <c r="G82" t="inlineStr">
        <is>
          <t>TORSÅS</t>
        </is>
      </c>
      <c r="I82" t="n">
        <v>7.5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70317-2021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44536</v>
      </c>
      <c r="E83" s="1" t="n">
        <v>46222</v>
      </c>
      <c r="F83" t="inlineStr">
        <is>
          <t>KALMAR LÄN</t>
        </is>
      </c>
      <c r="G83" t="inlineStr">
        <is>
          <t>TORSÅS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43575-2022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44837</v>
      </c>
      <c r="E84" s="1" t="n">
        <v>46222</v>
      </c>
      <c r="F84" t="inlineStr">
        <is>
          <t>KALMAR LÄN</t>
        </is>
      </c>
      <c r="G84" t="inlineStr">
        <is>
          <t>TORSÅS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38823-2021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44411</v>
      </c>
      <c r="E85" s="1" t="n">
        <v>46222</v>
      </c>
      <c r="F85" t="inlineStr">
        <is>
          <t>KALMAR LÄN</t>
        </is>
      </c>
      <c r="G85" t="inlineStr">
        <is>
          <t>TORSÅS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47507-2021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46222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53410-2022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46222</v>
      </c>
      <c r="F87" t="inlineStr">
        <is>
          <t>KALMAR LÄN</t>
        </is>
      </c>
      <c r="G87" t="inlineStr">
        <is>
          <t>TORSÅS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21889-2022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46222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14383-2022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44652</v>
      </c>
      <c r="E89" s="1" t="n">
        <v>46222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34622-2022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46222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6021-2022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44599</v>
      </c>
      <c r="E91" s="1" t="n">
        <v>46222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58776-2021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44489</v>
      </c>
      <c r="E92" s="1" t="n">
        <v>46222</v>
      </c>
      <c r="F92" t="inlineStr">
        <is>
          <t>KALMAR LÄN</t>
        </is>
      </c>
      <c r="G92" t="inlineStr">
        <is>
          <t>TORSÅS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55292-2021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44475</v>
      </c>
      <c r="E93" s="1" t="n">
        <v>46222</v>
      </c>
      <c r="F93" t="inlineStr">
        <is>
          <t>KALMAR LÄN</t>
        </is>
      </c>
      <c r="G93" t="inlineStr">
        <is>
          <t>TORSÅS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58768-2021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44489</v>
      </c>
      <c r="E94" s="1" t="n">
        <v>46222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37966-2022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44811</v>
      </c>
      <c r="E95" s="1" t="n">
        <v>46222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37968-2022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46222</v>
      </c>
      <c r="F96" t="inlineStr">
        <is>
          <t>KALMAR LÄN</t>
        </is>
      </c>
      <c r="G96" t="inlineStr">
        <is>
          <t>TORSÅS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12060-2022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44636</v>
      </c>
      <c r="E97" s="1" t="n">
        <v>46222</v>
      </c>
      <c r="F97" t="inlineStr">
        <is>
          <t>KALMAR LÄN</t>
        </is>
      </c>
      <c r="G97" t="inlineStr">
        <is>
          <t>TORSÅS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65647-2021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44516</v>
      </c>
      <c r="E98" s="1" t="n">
        <v>46222</v>
      </c>
      <c r="F98" t="inlineStr">
        <is>
          <t>KALMAR LÄN</t>
        </is>
      </c>
      <c r="G98" t="inlineStr">
        <is>
          <t>TORSÅS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47444-2021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44447</v>
      </c>
      <c r="E99" s="1" t="n">
        <v>46222</v>
      </c>
      <c r="F99" t="inlineStr">
        <is>
          <t>KALMAR LÄN</t>
        </is>
      </c>
      <c r="G99" t="inlineStr">
        <is>
          <t>TORSÅS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44580</v>
      </c>
      <c r="E100" s="1" t="n">
        <v>46222</v>
      </c>
      <c r="F100" t="inlineStr">
        <is>
          <t>KALMAR LÄN</t>
        </is>
      </c>
      <c r="G100" t="inlineStr">
        <is>
          <t>TORSÅS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15109-2022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44658</v>
      </c>
      <c r="E101" s="1" t="n">
        <v>46222</v>
      </c>
      <c r="F101" t="inlineStr">
        <is>
          <t>KALMAR LÄN</t>
        </is>
      </c>
      <c r="G101" t="inlineStr">
        <is>
          <t>TORSÅS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28592-2022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44748</v>
      </c>
      <c r="E102" s="1" t="n">
        <v>46222</v>
      </c>
      <c r="F102" t="inlineStr">
        <is>
          <t>KALMAR LÄN</t>
        </is>
      </c>
      <c r="G102" t="inlineStr">
        <is>
          <t>TORSÅS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46222</v>
      </c>
      <c r="F103" t="inlineStr">
        <is>
          <t>KALMAR LÄN</t>
        </is>
      </c>
      <c r="G103" t="inlineStr">
        <is>
          <t>TORSÅS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51781-2023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45222</v>
      </c>
      <c r="E104" s="1" t="n">
        <v>46222</v>
      </c>
      <c r="F104" t="inlineStr">
        <is>
          <t>KALMAR LÄN</t>
        </is>
      </c>
      <c r="G104" t="inlineStr">
        <is>
          <t>TORSÅS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34623-2022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44795</v>
      </c>
      <c r="E105" s="1" t="n">
        <v>46222</v>
      </c>
      <c r="F105" t="inlineStr">
        <is>
          <t>KALMAR LÄN</t>
        </is>
      </c>
      <c r="G105" t="inlineStr">
        <is>
          <t>TORSÅS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5845-2024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45335</v>
      </c>
      <c r="E106" s="1" t="n">
        <v>46222</v>
      </c>
      <c r="F106" t="inlineStr">
        <is>
          <t>KALMAR LÄN</t>
        </is>
      </c>
      <c r="G106" t="inlineStr">
        <is>
          <t>TORSÅS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26515-2022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44739</v>
      </c>
      <c r="E107" s="1" t="n">
        <v>46222</v>
      </c>
      <c r="F107" t="inlineStr">
        <is>
          <t>KALMAR LÄN</t>
        </is>
      </c>
      <c r="G107" t="inlineStr">
        <is>
          <t>TORSÅS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40569-2021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44420</v>
      </c>
      <c r="E108" s="1" t="n">
        <v>46222</v>
      </c>
      <c r="F108" t="inlineStr">
        <is>
          <t>KALMAR LÄN</t>
        </is>
      </c>
      <c r="G108" t="inlineStr">
        <is>
          <t>TORSÅS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35708-2024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45532</v>
      </c>
      <c r="E109" s="1" t="n">
        <v>46222</v>
      </c>
      <c r="F109" t="inlineStr">
        <is>
          <t>KALMAR LÄN</t>
        </is>
      </c>
      <c r="G109" t="inlineStr">
        <is>
          <t>TORSÅS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24148-2022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44725</v>
      </c>
      <c r="E110" s="1" t="n">
        <v>46222</v>
      </c>
      <c r="F110" t="inlineStr">
        <is>
          <t>KALMAR LÄN</t>
        </is>
      </c>
      <c r="G110" t="inlineStr">
        <is>
          <t>TORSÅS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4016-2024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45323</v>
      </c>
      <c r="E111" s="1" t="n">
        <v>46222</v>
      </c>
      <c r="F111" t="inlineStr">
        <is>
          <t>KALMAR LÄN</t>
        </is>
      </c>
      <c r="G111" t="inlineStr">
        <is>
          <t>TORSÅS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51771-2023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45222</v>
      </c>
      <c r="E112" s="1" t="n">
        <v>46222</v>
      </c>
      <c r="F112" t="inlineStr">
        <is>
          <t>KALMAR LÄN</t>
        </is>
      </c>
      <c r="G112" t="inlineStr">
        <is>
          <t>TORSÅS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10704-2024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45369</v>
      </c>
      <c r="E113" s="1" t="n">
        <v>46222</v>
      </c>
      <c r="F113" t="inlineStr">
        <is>
          <t>KALMAR LÄN</t>
        </is>
      </c>
      <c r="G113" t="inlineStr">
        <is>
          <t>TORSÅS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5188-2024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45330</v>
      </c>
      <c r="E114" s="1" t="n">
        <v>46222</v>
      </c>
      <c r="F114" t="inlineStr">
        <is>
          <t>KALMAR LÄN</t>
        </is>
      </c>
      <c r="G114" t="inlineStr">
        <is>
          <t>TORSÅS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26696-2023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45093</v>
      </c>
      <c r="E115" s="1" t="n">
        <v>46222</v>
      </c>
      <c r="F115" t="inlineStr">
        <is>
          <t>KALMAR LÄN</t>
        </is>
      </c>
      <c r="G115" t="inlineStr">
        <is>
          <t>TORSÅS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26707-2023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45093</v>
      </c>
      <c r="E116" s="1" t="n">
        <v>46222</v>
      </c>
      <c r="F116" t="inlineStr">
        <is>
          <t>KALMAR LÄN</t>
        </is>
      </c>
      <c r="G116" t="inlineStr">
        <is>
          <t>TORSÅS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53571-2021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44468</v>
      </c>
      <c r="E117" s="1" t="n">
        <v>46222</v>
      </c>
      <c r="F117" t="inlineStr">
        <is>
          <t>KALMAR LÄN</t>
        </is>
      </c>
      <c r="G117" t="inlineStr">
        <is>
          <t>TORSÅS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18694-2024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45426</v>
      </c>
      <c r="E118" s="1" t="n">
        <v>46222</v>
      </c>
      <c r="F118" t="inlineStr">
        <is>
          <t>KALMAR LÄN</t>
        </is>
      </c>
      <c r="G118" t="inlineStr">
        <is>
          <t>TORSÅS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58441-2023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45250</v>
      </c>
      <c r="E119" s="1" t="n">
        <v>46222</v>
      </c>
      <c r="F119" t="inlineStr">
        <is>
          <t>KALMAR LÄN</t>
        </is>
      </c>
      <c r="G119" t="inlineStr">
        <is>
          <t>TORSÅS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4447-2024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45327</v>
      </c>
      <c r="E120" s="1" t="n">
        <v>46222</v>
      </c>
      <c r="F120" t="inlineStr">
        <is>
          <t>KALMAR LÄN</t>
        </is>
      </c>
      <c r="G120" t="inlineStr">
        <is>
          <t>TORSÅS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58442-2023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45250</v>
      </c>
      <c r="E121" s="1" t="n">
        <v>46222</v>
      </c>
      <c r="F121" t="inlineStr">
        <is>
          <t>KALMAR LÄN</t>
        </is>
      </c>
      <c r="G121" t="inlineStr">
        <is>
          <t>TORSÅS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58443-2023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45250</v>
      </c>
      <c r="E122" s="1" t="n">
        <v>46222</v>
      </c>
      <c r="F122" t="inlineStr">
        <is>
          <t>KALMAR LÄN</t>
        </is>
      </c>
      <c r="G122" t="inlineStr">
        <is>
          <t>TORSÅS</t>
        </is>
      </c>
      <c r="I122" t="n">
        <v>7.8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41452-2022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44826</v>
      </c>
      <c r="E123" s="1" t="n">
        <v>46222</v>
      </c>
      <c r="F123" t="inlineStr">
        <is>
          <t>KALMAR LÄN</t>
        </is>
      </c>
      <c r="G123" t="inlineStr">
        <is>
          <t>TORSÅS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2036-2024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45308</v>
      </c>
      <c r="E124" s="1" t="n">
        <v>46222</v>
      </c>
      <c r="F124" t="inlineStr">
        <is>
          <t>KALMAR LÄN</t>
        </is>
      </c>
      <c r="G124" t="inlineStr">
        <is>
          <t>TORSÅS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58274-2023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45250</v>
      </c>
      <c r="E125" s="1" t="n">
        <v>46222</v>
      </c>
      <c r="F125" t="inlineStr">
        <is>
          <t>KALMAR LÄN</t>
        </is>
      </c>
      <c r="G125" t="inlineStr">
        <is>
          <t>TORSÅS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55980-2022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44889</v>
      </c>
      <c r="E126" s="1" t="n">
        <v>46222</v>
      </c>
      <c r="F126" t="inlineStr">
        <is>
          <t>KALMAR LÄN</t>
        </is>
      </c>
      <c r="G126" t="inlineStr">
        <is>
          <t>TORSÅS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47318-2022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46222</v>
      </c>
      <c r="F127" t="inlineStr">
        <is>
          <t>KALMAR LÄN</t>
        </is>
      </c>
      <c r="G127" t="inlineStr">
        <is>
          <t>TORSÅS</t>
        </is>
      </c>
      <c r="I127" t="n">
        <v>6.4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38955-2021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44411</v>
      </c>
      <c r="E128" s="1" t="n">
        <v>46222</v>
      </c>
      <c r="F128" t="inlineStr">
        <is>
          <t>KALMAR LÄN</t>
        </is>
      </c>
      <c r="G128" t="inlineStr">
        <is>
          <t>TORSÅS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46640-2022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44849</v>
      </c>
      <c r="E129" s="1" t="n">
        <v>46222</v>
      </c>
      <c r="F129" t="inlineStr">
        <is>
          <t>KALMAR LÄN</t>
        </is>
      </c>
      <c r="G129" t="inlineStr">
        <is>
          <t>TORSÅS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2187-2023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44942</v>
      </c>
      <c r="E130" s="1" t="n">
        <v>46222</v>
      </c>
      <c r="F130" t="inlineStr">
        <is>
          <t>KALMAR LÄN</t>
        </is>
      </c>
      <c r="G130" t="inlineStr">
        <is>
          <t>TORSÅS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3373-2023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44949</v>
      </c>
      <c r="E131" s="1" t="n">
        <v>46222</v>
      </c>
      <c r="F131" t="inlineStr">
        <is>
          <t>KALMAR LÄN</t>
        </is>
      </c>
      <c r="G131" t="inlineStr">
        <is>
          <t>TORSÅS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65651-2021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44516</v>
      </c>
      <c r="E132" s="1" t="n">
        <v>46222</v>
      </c>
      <c r="F132" t="inlineStr">
        <is>
          <t>KALMAR LÄN</t>
        </is>
      </c>
      <c r="G132" t="inlineStr">
        <is>
          <t>TORSÅS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2477-2023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44943</v>
      </c>
      <c r="E133" s="1" t="n">
        <v>46222</v>
      </c>
      <c r="F133" t="inlineStr">
        <is>
          <t>KALMAR LÄN</t>
        </is>
      </c>
      <c r="G133" t="inlineStr">
        <is>
          <t>TORSÅS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68493-2021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44529</v>
      </c>
      <c r="E134" s="1" t="n">
        <v>46222</v>
      </c>
      <c r="F134" t="inlineStr">
        <is>
          <t>KALMAR LÄN</t>
        </is>
      </c>
      <c r="G134" t="inlineStr">
        <is>
          <t>TORSÅS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58680-2022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44902</v>
      </c>
      <c r="E135" s="1" t="n">
        <v>46222</v>
      </c>
      <c r="F135" t="inlineStr">
        <is>
          <t>KALMAR LÄN</t>
        </is>
      </c>
      <c r="G135" t="inlineStr">
        <is>
          <t>TORSÅS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8405-2024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45352</v>
      </c>
      <c r="E136" s="1" t="n">
        <v>46222</v>
      </c>
      <c r="F136" t="inlineStr">
        <is>
          <t>KALMAR LÄN</t>
        </is>
      </c>
      <c r="G136" t="inlineStr">
        <is>
          <t>TORSÅS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64348-2021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44511</v>
      </c>
      <c r="E137" s="1" t="n">
        <v>46222</v>
      </c>
      <c r="F137" t="inlineStr">
        <is>
          <t>KALMAR LÄN</t>
        </is>
      </c>
      <c r="G137" t="inlineStr">
        <is>
          <t>TORSÅS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10651-2023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44988</v>
      </c>
      <c r="E138" s="1" t="n">
        <v>46222</v>
      </c>
      <c r="F138" t="inlineStr">
        <is>
          <t>KALMAR LÄN</t>
        </is>
      </c>
      <c r="G138" t="inlineStr">
        <is>
          <t>TORSÅS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53976-2022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44881</v>
      </c>
      <c r="E139" s="1" t="n">
        <v>46222</v>
      </c>
      <c r="F139" t="inlineStr">
        <is>
          <t>KALMAR LÄN</t>
        </is>
      </c>
      <c r="G139" t="inlineStr">
        <is>
          <t>TORSÅS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44600</v>
      </c>
      <c r="E140" s="1" t="n">
        <v>46222</v>
      </c>
      <c r="F140" t="inlineStr">
        <is>
          <t>KALMAR LÄN</t>
        </is>
      </c>
      <c r="G140" t="inlineStr">
        <is>
          <t>TORSÅS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27771-2023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45098</v>
      </c>
      <c r="E141" s="1" t="n">
        <v>46222</v>
      </c>
      <c r="F141" t="inlineStr">
        <is>
          <t>KALMAR LÄN</t>
        </is>
      </c>
      <c r="G141" t="inlineStr">
        <is>
          <t>TORSÅS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12591-2022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44640</v>
      </c>
      <c r="E142" s="1" t="n">
        <v>46222</v>
      </c>
      <c r="F142" t="inlineStr">
        <is>
          <t>KALMAR LÄN</t>
        </is>
      </c>
      <c r="G142" t="inlineStr">
        <is>
          <t>TORSÅS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12915-2023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45001</v>
      </c>
      <c r="E143" s="1" t="n">
        <v>46222</v>
      </c>
      <c r="F143" t="inlineStr">
        <is>
          <t>KALMAR LÄN</t>
        </is>
      </c>
      <c r="G143" t="inlineStr">
        <is>
          <t>TORSÅS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12958-2023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45001</v>
      </c>
      <c r="E144" s="1" t="n">
        <v>46222</v>
      </c>
      <c r="F144" t="inlineStr">
        <is>
          <t>KALMAR LÄN</t>
        </is>
      </c>
      <c r="G144" t="inlineStr">
        <is>
          <t>TORSÅS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38454-2024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45546</v>
      </c>
      <c r="E145" s="1" t="n">
        <v>46222</v>
      </c>
      <c r="F145" t="inlineStr">
        <is>
          <t>KALMAR LÄN</t>
        </is>
      </c>
      <c r="G145" t="inlineStr">
        <is>
          <t>TORSÅS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13930-2023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45008</v>
      </c>
      <c r="E146" s="1" t="n">
        <v>46222</v>
      </c>
      <c r="F146" t="inlineStr">
        <is>
          <t>KALMAR LÄN</t>
        </is>
      </c>
      <c r="G146" t="inlineStr">
        <is>
          <t>TORSÅS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58917-2024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45636</v>
      </c>
      <c r="E147" s="1" t="n">
        <v>46222</v>
      </c>
      <c r="F147" t="inlineStr">
        <is>
          <t>KALMAR LÄN</t>
        </is>
      </c>
      <c r="G147" t="inlineStr">
        <is>
          <t>TORSÅS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30869-2023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45113</v>
      </c>
      <c r="E148" s="1" t="n">
        <v>46222</v>
      </c>
      <c r="F148" t="inlineStr">
        <is>
          <t>KALMAR LÄN</t>
        </is>
      </c>
      <c r="G148" t="inlineStr">
        <is>
          <t>TORSÅS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28945-2025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45820</v>
      </c>
      <c r="E149" s="1" t="n">
        <v>46222</v>
      </c>
      <c r="F149" t="inlineStr">
        <is>
          <t>KALMAR LÄN</t>
        </is>
      </c>
      <c r="G149" t="inlineStr">
        <is>
          <t>TORSÅS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37210-2023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45155</v>
      </c>
      <c r="E150" s="1" t="n">
        <v>46222</v>
      </c>
      <c r="F150" t="inlineStr">
        <is>
          <t>KALMAR LÄN</t>
        </is>
      </c>
      <c r="G150" t="inlineStr">
        <is>
          <t>TORSÅS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40298-2025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45895</v>
      </c>
      <c r="E151" s="1" t="n">
        <v>46222</v>
      </c>
      <c r="F151" t="inlineStr">
        <is>
          <t>KALMAR LÄN</t>
        </is>
      </c>
      <c r="G151" t="inlineStr">
        <is>
          <t>TORSÅS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46622-2024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45583</v>
      </c>
      <c r="E152" s="1" t="n">
        <v>46222</v>
      </c>
      <c r="F152" t="inlineStr">
        <is>
          <t>KALMAR LÄN</t>
        </is>
      </c>
      <c r="G152" t="inlineStr">
        <is>
          <t>TORSÅS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30225-2025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45827</v>
      </c>
      <c r="E153" s="1" t="n">
        <v>46222</v>
      </c>
      <c r="F153" t="inlineStr">
        <is>
          <t>KALMAR LÄN</t>
        </is>
      </c>
      <c r="G153" t="inlineStr">
        <is>
          <t>TORSÅS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10351-2025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45720</v>
      </c>
      <c r="E154" s="1" t="n">
        <v>46222</v>
      </c>
      <c r="F154" t="inlineStr">
        <is>
          <t>KALMAR LÄN</t>
        </is>
      </c>
      <c r="G154" t="inlineStr">
        <is>
          <t>TORSÅS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24672-2025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45798</v>
      </c>
      <c r="E155" s="1" t="n">
        <v>46222</v>
      </c>
      <c r="F155" t="inlineStr">
        <is>
          <t>KALMAR LÄN</t>
        </is>
      </c>
      <c r="G155" t="inlineStr">
        <is>
          <t>TORSÅS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8512-2022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44613</v>
      </c>
      <c r="E156" s="1" t="n">
        <v>46222</v>
      </c>
      <c r="F156" t="inlineStr">
        <is>
          <t>KALMAR LÄN</t>
        </is>
      </c>
      <c r="G156" t="inlineStr">
        <is>
          <t>TORSÅS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18689-2024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45426</v>
      </c>
      <c r="E157" s="1" t="n">
        <v>46222</v>
      </c>
      <c r="F157" t="inlineStr">
        <is>
          <t>KALMAR LÄN</t>
        </is>
      </c>
      <c r="G157" t="inlineStr">
        <is>
          <t>TORSÅS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24471-2023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45082</v>
      </c>
      <c r="E158" s="1" t="n">
        <v>46222</v>
      </c>
      <c r="F158" t="inlineStr">
        <is>
          <t>KALMAR LÄN</t>
        </is>
      </c>
      <c r="G158" t="inlineStr">
        <is>
          <t>TORSÅS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32922-2025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45839</v>
      </c>
      <c r="E159" s="1" t="n">
        <v>46222</v>
      </c>
      <c r="F159" t="inlineStr">
        <is>
          <t>KALMAR LÄN</t>
        </is>
      </c>
      <c r="G159" t="inlineStr">
        <is>
          <t>TORSÅS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44484-2025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45916</v>
      </c>
      <c r="E160" s="1" t="n">
        <v>46222</v>
      </c>
      <c r="F160" t="inlineStr">
        <is>
          <t>KALMAR LÄN</t>
        </is>
      </c>
      <c r="G160" t="inlineStr">
        <is>
          <t>TORSÅS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44686-2025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45917</v>
      </c>
      <c r="E161" s="1" t="n">
        <v>46222</v>
      </c>
      <c r="F161" t="inlineStr">
        <is>
          <t>KALMAR LÄN</t>
        </is>
      </c>
      <c r="G161" t="inlineStr">
        <is>
          <t>TORSÅS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44687-2025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45917</v>
      </c>
      <c r="E162" s="1" t="n">
        <v>46222</v>
      </c>
      <c r="F162" t="inlineStr">
        <is>
          <t>KALMAR LÄN</t>
        </is>
      </c>
      <c r="G162" t="inlineStr">
        <is>
          <t>TORSÅS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44568-2025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46222</v>
      </c>
      <c r="F163" t="inlineStr">
        <is>
          <t>KALMAR LÄN</t>
        </is>
      </c>
      <c r="G163" t="inlineStr">
        <is>
          <t>TORSÅS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44570-2025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45917</v>
      </c>
      <c r="E164" s="1" t="n">
        <v>46222</v>
      </c>
      <c r="F164" t="inlineStr">
        <is>
          <t>KALMAR LÄN</t>
        </is>
      </c>
      <c r="G164" t="inlineStr">
        <is>
          <t>TORSÅS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44705-2025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45917</v>
      </c>
      <c r="E165" s="1" t="n">
        <v>46222</v>
      </c>
      <c r="F165" t="inlineStr">
        <is>
          <t>KALMAR LÄN</t>
        </is>
      </c>
      <c r="G165" t="inlineStr">
        <is>
          <t>TORSÅS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44712-2025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45917</v>
      </c>
      <c r="E166" s="1" t="n">
        <v>46222</v>
      </c>
      <c r="F166" t="inlineStr">
        <is>
          <t>KALMAR LÄN</t>
        </is>
      </c>
      <c r="G166" t="inlineStr">
        <is>
          <t>TORSÅS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23091-2023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45075</v>
      </c>
      <c r="E167" s="1" t="n">
        <v>46222</v>
      </c>
      <c r="F167" t="inlineStr">
        <is>
          <t>KALMAR LÄN</t>
        </is>
      </c>
      <c r="G167" t="inlineStr">
        <is>
          <t>TORSÅS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62649-2023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45271</v>
      </c>
      <c r="E168" s="1" t="n">
        <v>46222</v>
      </c>
      <c r="F168" t="inlineStr">
        <is>
          <t>KALMAR LÄN</t>
        </is>
      </c>
      <c r="G168" t="inlineStr">
        <is>
          <t>TORSÅS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62661-2023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45271</v>
      </c>
      <c r="E169" s="1" t="n">
        <v>46222</v>
      </c>
      <c r="F169" t="inlineStr">
        <is>
          <t>KALMAR LÄN</t>
        </is>
      </c>
      <c r="G169" t="inlineStr">
        <is>
          <t>TORSÅS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46098-2025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45924</v>
      </c>
      <c r="E170" s="1" t="n">
        <v>46222</v>
      </c>
      <c r="F170" t="inlineStr">
        <is>
          <t>KALMAR LÄN</t>
        </is>
      </c>
      <c r="G170" t="inlineStr">
        <is>
          <t>TORSÅS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46411-2025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45925</v>
      </c>
      <c r="E171" s="1" t="n">
        <v>46222</v>
      </c>
      <c r="F171" t="inlineStr">
        <is>
          <t>KALMAR LÄN</t>
        </is>
      </c>
      <c r="G171" t="inlineStr">
        <is>
          <t>TORSÅS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46412-2025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45925</v>
      </c>
      <c r="E172" s="1" t="n">
        <v>46222</v>
      </c>
      <c r="F172" t="inlineStr">
        <is>
          <t>KALMAR LÄN</t>
        </is>
      </c>
      <c r="G172" t="inlineStr">
        <is>
          <t>TORSÅS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12159-2023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44998</v>
      </c>
      <c r="E173" s="1" t="n">
        <v>46222</v>
      </c>
      <c r="F173" t="inlineStr">
        <is>
          <t>KALMAR LÄN</t>
        </is>
      </c>
      <c r="G173" t="inlineStr">
        <is>
          <t>TORSÅS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30867-2023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45113</v>
      </c>
      <c r="E174" s="1" t="n">
        <v>46222</v>
      </c>
      <c r="F174" t="inlineStr">
        <is>
          <t>KALMAR LÄN</t>
        </is>
      </c>
      <c r="G174" t="inlineStr">
        <is>
          <t>TORSÅS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30874-2023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45113</v>
      </c>
      <c r="E175" s="1" t="n">
        <v>46222</v>
      </c>
      <c r="F175" t="inlineStr">
        <is>
          <t>KALMAR LÄN</t>
        </is>
      </c>
      <c r="G175" t="inlineStr">
        <is>
          <t>TORSÅS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35771-2025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45860</v>
      </c>
      <c r="E176" s="1" t="n">
        <v>46222</v>
      </c>
      <c r="F176" t="inlineStr">
        <is>
          <t>KALMAR LÄN</t>
        </is>
      </c>
      <c r="G176" t="inlineStr">
        <is>
          <t>TORSÅS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6530-2026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46056</v>
      </c>
      <c r="E177" s="1" t="n">
        <v>46222</v>
      </c>
      <c r="F177" t="inlineStr">
        <is>
          <t>KALMAR LÄN</t>
        </is>
      </c>
      <c r="G177" t="inlineStr">
        <is>
          <t>TORSÅS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53337-2024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45614</v>
      </c>
      <c r="E178" s="1" t="n">
        <v>46222</v>
      </c>
      <c r="F178" t="inlineStr">
        <is>
          <t>KALMAR LÄN</t>
        </is>
      </c>
      <c r="G178" t="inlineStr">
        <is>
          <t>TORSÅS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5113-2023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44958</v>
      </c>
      <c r="E179" s="1" t="n">
        <v>46222</v>
      </c>
      <c r="F179" t="inlineStr">
        <is>
          <t>KALMAR LÄN</t>
        </is>
      </c>
      <c r="G179" t="inlineStr">
        <is>
          <t>TORSÅS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60055-2021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44495</v>
      </c>
      <c r="E180" s="1" t="n">
        <v>46222</v>
      </c>
      <c r="F180" t="inlineStr">
        <is>
          <t>KALMAR LÄN</t>
        </is>
      </c>
      <c r="G180" t="inlineStr">
        <is>
          <t>TORSÅS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36527-2025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45869</v>
      </c>
      <c r="E181" s="1" t="n">
        <v>46222</v>
      </c>
      <c r="F181" t="inlineStr">
        <is>
          <t>KALMAR LÄN</t>
        </is>
      </c>
      <c r="G181" t="inlineStr">
        <is>
          <t>TORSÅS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36525-2025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45869</v>
      </c>
      <c r="E182" s="1" t="n">
        <v>46222</v>
      </c>
      <c r="F182" t="inlineStr">
        <is>
          <t>KALMAR LÄN</t>
        </is>
      </c>
      <c r="G182" t="inlineStr">
        <is>
          <t>TORSÅS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36526-2025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45869</v>
      </c>
      <c r="E183" s="1" t="n">
        <v>46222</v>
      </c>
      <c r="F183" t="inlineStr">
        <is>
          <t>KALMAR LÄN</t>
        </is>
      </c>
      <c r="G183" t="inlineStr">
        <is>
          <t>TORSÅS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4267-2024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45324</v>
      </c>
      <c r="E184" s="1" t="n">
        <v>46222</v>
      </c>
      <c r="F184" t="inlineStr">
        <is>
          <t>KALMAR LÄN</t>
        </is>
      </c>
      <c r="G184" t="inlineStr">
        <is>
          <t>TORSÅS</t>
        </is>
      </c>
      <c r="H184" t="inlineStr">
        <is>
          <t>Övriga Aktiebolag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2132-2025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45672</v>
      </c>
      <c r="E185" s="1" t="n">
        <v>46222</v>
      </c>
      <c r="F185" t="inlineStr">
        <is>
          <t>KALMAR LÄN</t>
        </is>
      </c>
      <c r="G185" t="inlineStr">
        <is>
          <t>TORSÅS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12553-2023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45000</v>
      </c>
      <c r="E186" s="1" t="n">
        <v>46222</v>
      </c>
      <c r="F186" t="inlineStr">
        <is>
          <t>KALMAR LÄN</t>
        </is>
      </c>
      <c r="G186" t="inlineStr">
        <is>
          <t>TORSÅS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2136-2025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45672</v>
      </c>
      <c r="E187" s="1" t="n">
        <v>46222</v>
      </c>
      <c r="F187" t="inlineStr">
        <is>
          <t>KALMAR LÄN</t>
        </is>
      </c>
      <c r="G187" t="inlineStr">
        <is>
          <t>TORSÅS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35116-2023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45145</v>
      </c>
      <c r="E188" s="1" t="n">
        <v>46222</v>
      </c>
      <c r="F188" t="inlineStr">
        <is>
          <t>KALMAR LÄN</t>
        </is>
      </c>
      <c r="G188" t="inlineStr">
        <is>
          <t>TORSÅS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11162-2023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44992</v>
      </c>
      <c r="E189" s="1" t="n">
        <v>46222</v>
      </c>
      <c r="F189" t="inlineStr">
        <is>
          <t>KALMAR LÄN</t>
        </is>
      </c>
      <c r="G189" t="inlineStr">
        <is>
          <t>TORSÅS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26700-2023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45093</v>
      </c>
      <c r="E190" s="1" t="n">
        <v>46222</v>
      </c>
      <c r="F190" t="inlineStr">
        <is>
          <t>KALMAR LÄN</t>
        </is>
      </c>
      <c r="G190" t="inlineStr">
        <is>
          <t>TORSÅS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37622-2025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45880</v>
      </c>
      <c r="E191" s="1" t="n">
        <v>46222</v>
      </c>
      <c r="F191" t="inlineStr">
        <is>
          <t>KALMAR LÄN</t>
        </is>
      </c>
      <c r="G191" t="inlineStr">
        <is>
          <t>TORSÅS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37626-2025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45880</v>
      </c>
      <c r="E192" s="1" t="n">
        <v>46222</v>
      </c>
      <c r="F192" t="inlineStr">
        <is>
          <t>KALMAR LÄN</t>
        </is>
      </c>
      <c r="G192" t="inlineStr">
        <is>
          <t>TORSÅS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7469-2026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46059</v>
      </c>
      <c r="E193" s="1" t="n">
        <v>46222</v>
      </c>
      <c r="F193" t="inlineStr">
        <is>
          <t>KALMAR LÄN</t>
        </is>
      </c>
      <c r="G193" t="inlineStr">
        <is>
          <t>TORSÅS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8975-2025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45713</v>
      </c>
      <c r="E194" s="1" t="n">
        <v>46222</v>
      </c>
      <c r="F194" t="inlineStr">
        <is>
          <t>KALMAR LÄN</t>
        </is>
      </c>
      <c r="G194" t="inlineStr">
        <is>
          <t>TORSÅS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42172-2023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45178</v>
      </c>
      <c r="E195" s="1" t="n">
        <v>46222</v>
      </c>
      <c r="F195" t="inlineStr">
        <is>
          <t>KALMAR LÄN</t>
        </is>
      </c>
      <c r="G195" t="inlineStr">
        <is>
          <t>TORSÅS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51022-2025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46222</v>
      </c>
      <c r="F196" t="inlineStr">
        <is>
          <t>KALMAR LÄN</t>
        </is>
      </c>
      <c r="G196" t="inlineStr">
        <is>
          <t>TORSÅS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26491-2022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44739</v>
      </c>
      <c r="E197" s="1" t="n">
        <v>46222</v>
      </c>
      <c r="F197" t="inlineStr">
        <is>
          <t>KALMAR LÄN</t>
        </is>
      </c>
      <c r="G197" t="inlineStr">
        <is>
          <t>TORSÅS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50962-2025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45946</v>
      </c>
      <c r="E198" s="1" t="n">
        <v>46222</v>
      </c>
      <c r="F198" t="inlineStr">
        <is>
          <t>KALMAR LÄN</t>
        </is>
      </c>
      <c r="G198" t="inlineStr">
        <is>
          <t>TORSÅS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51643-2025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45951</v>
      </c>
      <c r="E199" s="1" t="n">
        <v>46222</v>
      </c>
      <c r="F199" t="inlineStr">
        <is>
          <t>KALMAR LÄN</t>
        </is>
      </c>
      <c r="G199" t="inlineStr">
        <is>
          <t>TORSÅS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31760-2022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44776</v>
      </c>
      <c r="E200" s="1" t="n">
        <v>46222</v>
      </c>
      <c r="F200" t="inlineStr">
        <is>
          <t>KALMAR LÄN</t>
        </is>
      </c>
      <c r="G200" t="inlineStr">
        <is>
          <t>TORSÅS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10062-2023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44985</v>
      </c>
      <c r="E201" s="1" t="n">
        <v>46222</v>
      </c>
      <c r="F201" t="inlineStr">
        <is>
          <t>KALMAR LÄN</t>
        </is>
      </c>
      <c r="G201" t="inlineStr">
        <is>
          <t>TORSÅS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19714-2022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44694</v>
      </c>
      <c r="E202" s="1" t="n">
        <v>46222</v>
      </c>
      <c r="F202" t="inlineStr">
        <is>
          <t>KALMAR LÄN</t>
        </is>
      </c>
      <c r="G202" t="inlineStr">
        <is>
          <t>TORSÅS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17819-2022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44683</v>
      </c>
      <c r="E203" s="1" t="n">
        <v>46222</v>
      </c>
      <c r="F203" t="inlineStr">
        <is>
          <t>KALMAR LÄN</t>
        </is>
      </c>
      <c r="G203" t="inlineStr">
        <is>
          <t>TORSÅS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17820-2022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44683</v>
      </c>
      <c r="E204" s="1" t="n">
        <v>46222</v>
      </c>
      <c r="F204" t="inlineStr">
        <is>
          <t>KALMAR LÄN</t>
        </is>
      </c>
      <c r="G204" t="inlineStr">
        <is>
          <t>TORSÅS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9185-2026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46070</v>
      </c>
      <c r="E205" s="1" t="n">
        <v>46222</v>
      </c>
      <c r="F205" t="inlineStr">
        <is>
          <t>KALMAR LÄN</t>
        </is>
      </c>
      <c r="G205" t="inlineStr">
        <is>
          <t>TORSÅS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56366-2023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45243</v>
      </c>
      <c r="E206" s="1" t="n">
        <v>46222</v>
      </c>
      <c r="F206" t="inlineStr">
        <is>
          <t>KALMAR LÄN</t>
        </is>
      </c>
      <c r="G206" t="inlineStr">
        <is>
          <t>TORSÅS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9175-2026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46070</v>
      </c>
      <c r="E207" s="1" t="n">
        <v>46222</v>
      </c>
      <c r="F207" t="inlineStr">
        <is>
          <t>KALMAR LÄN</t>
        </is>
      </c>
      <c r="G207" t="inlineStr">
        <is>
          <t>TORSÅS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10652-2023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44988</v>
      </c>
      <c r="E208" s="1" t="n">
        <v>46222</v>
      </c>
      <c r="F208" t="inlineStr">
        <is>
          <t>KALMAR LÄN</t>
        </is>
      </c>
      <c r="G208" t="inlineStr">
        <is>
          <t>TORSÅS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16409-2023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45029</v>
      </c>
      <c r="E209" s="1" t="n">
        <v>46222</v>
      </c>
      <c r="F209" t="inlineStr">
        <is>
          <t>KALMAR LÄN</t>
        </is>
      </c>
      <c r="G209" t="inlineStr">
        <is>
          <t>TORSÅS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44839-2022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44841</v>
      </c>
      <c r="E210" s="1" t="n">
        <v>46222</v>
      </c>
      <c r="F210" t="inlineStr">
        <is>
          <t>KALMAR LÄN</t>
        </is>
      </c>
      <c r="G210" t="inlineStr">
        <is>
          <t>TORSÅS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54836-2025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45966</v>
      </c>
      <c r="E211" s="1" t="n">
        <v>46222</v>
      </c>
      <c r="F211" t="inlineStr">
        <is>
          <t>KALMAR LÄN</t>
        </is>
      </c>
      <c r="G211" t="inlineStr">
        <is>
          <t>TORSÅS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37168-2023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45155</v>
      </c>
      <c r="E212" s="1" t="n">
        <v>46222</v>
      </c>
      <c r="F212" t="inlineStr">
        <is>
          <t>KALMAR LÄN</t>
        </is>
      </c>
      <c r="G212" t="inlineStr">
        <is>
          <t>TORSÅS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41566-2022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44827</v>
      </c>
      <c r="E213" s="1" t="n">
        <v>46222</v>
      </c>
      <c r="F213" t="inlineStr">
        <is>
          <t>KALMAR LÄN</t>
        </is>
      </c>
      <c r="G213" t="inlineStr">
        <is>
          <t>TORSÅS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30871-2023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45113</v>
      </c>
      <c r="E214" s="1" t="n">
        <v>46222</v>
      </c>
      <c r="F214" t="inlineStr">
        <is>
          <t>KALMAR LÄN</t>
        </is>
      </c>
      <c r="G214" t="inlineStr">
        <is>
          <t>TORSÅS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30875-2023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45113</v>
      </c>
      <c r="E215" s="1" t="n">
        <v>46222</v>
      </c>
      <c r="F215" t="inlineStr">
        <is>
          <t>KALMAR LÄN</t>
        </is>
      </c>
      <c r="G215" t="inlineStr">
        <is>
          <t>TORSÅS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27546-2024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45474</v>
      </c>
      <c r="E216" s="1" t="n">
        <v>46222</v>
      </c>
      <c r="F216" t="inlineStr">
        <is>
          <t>KALMAR LÄN</t>
        </is>
      </c>
      <c r="G216" t="inlineStr">
        <is>
          <t>TORSÅS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50208-2021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44457</v>
      </c>
      <c r="E217" s="1" t="n">
        <v>46222</v>
      </c>
      <c r="F217" t="inlineStr">
        <is>
          <t>KALMAR LÄN</t>
        </is>
      </c>
      <c r="G217" t="inlineStr">
        <is>
          <t>TORSÅS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30648-2022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44763</v>
      </c>
      <c r="E218" s="1" t="n">
        <v>46222</v>
      </c>
      <c r="F218" t="inlineStr">
        <is>
          <t>KALMAR LÄN</t>
        </is>
      </c>
      <c r="G218" t="inlineStr">
        <is>
          <t>TORSÅS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46607-2023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45198</v>
      </c>
      <c r="E219" s="1" t="n">
        <v>46222</v>
      </c>
      <c r="F219" t="inlineStr">
        <is>
          <t>KALMAR LÄN</t>
        </is>
      </c>
      <c r="G219" t="inlineStr">
        <is>
          <t>TORSÅS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11420-2026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46083</v>
      </c>
      <c r="E220" s="1" t="n">
        <v>46222</v>
      </c>
      <c r="F220" t="inlineStr">
        <is>
          <t>KALMAR LÄN</t>
        </is>
      </c>
      <c r="G220" t="inlineStr">
        <is>
          <t>TORSÅS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11575-2026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46084</v>
      </c>
      <c r="E221" s="1" t="n">
        <v>46222</v>
      </c>
      <c r="F221" t="inlineStr">
        <is>
          <t>KALMAR LÄN</t>
        </is>
      </c>
      <c r="G221" t="inlineStr">
        <is>
          <t>TORSÅS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11609-2026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46084</v>
      </c>
      <c r="E222" s="1" t="n">
        <v>46222</v>
      </c>
      <c r="F222" t="inlineStr">
        <is>
          <t>KALMAR LÄN</t>
        </is>
      </c>
      <c r="G222" t="inlineStr">
        <is>
          <t>TORSÅS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58077-2025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45982</v>
      </c>
      <c r="E223" s="1" t="n">
        <v>46222</v>
      </c>
      <c r="F223" t="inlineStr">
        <is>
          <t>KALMAR LÄN</t>
        </is>
      </c>
      <c r="G223" t="inlineStr">
        <is>
          <t>TORSÅS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11642-2026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46084</v>
      </c>
      <c r="E224" s="1" t="n">
        <v>46222</v>
      </c>
      <c r="F224" t="inlineStr">
        <is>
          <t>KALMAR LÄN</t>
        </is>
      </c>
      <c r="G224" t="inlineStr">
        <is>
          <t>TORSÅS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58065-2025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45982</v>
      </c>
      <c r="E225" s="1" t="n">
        <v>46222</v>
      </c>
      <c r="F225" t="inlineStr">
        <is>
          <t>KALMAR LÄN</t>
        </is>
      </c>
      <c r="G225" t="inlineStr">
        <is>
          <t>TORSÅS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12419-2026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46090</v>
      </c>
      <c r="E226" s="1" t="n">
        <v>46222</v>
      </c>
      <c r="F226" t="inlineStr">
        <is>
          <t>KALMAR LÄN</t>
        </is>
      </c>
      <c r="G226" t="inlineStr">
        <is>
          <t>TORSÅS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59130-2025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45988</v>
      </c>
      <c r="E227" s="1" t="n">
        <v>46222</v>
      </c>
      <c r="F227" t="inlineStr">
        <is>
          <t>KALMAR LÄN</t>
        </is>
      </c>
      <c r="G227" t="inlineStr">
        <is>
          <t>TORSÅS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12415-2026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46090</v>
      </c>
      <c r="E228" s="1" t="n">
        <v>46222</v>
      </c>
      <c r="F228" t="inlineStr">
        <is>
          <t>KALMAR LÄN</t>
        </is>
      </c>
      <c r="G228" t="inlineStr">
        <is>
          <t>TORSÅS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12423-2026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46090</v>
      </c>
      <c r="E229" s="1" t="n">
        <v>46222</v>
      </c>
      <c r="F229" t="inlineStr">
        <is>
          <t>KALMAR LÄN</t>
        </is>
      </c>
      <c r="G229" t="inlineStr">
        <is>
          <t>TORSÅS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12484-2026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46090</v>
      </c>
      <c r="E230" s="1" t="n">
        <v>46222</v>
      </c>
      <c r="F230" t="inlineStr">
        <is>
          <t>KALMAR LÄN</t>
        </is>
      </c>
      <c r="G230" t="inlineStr">
        <is>
          <t>TORSÅS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60810-2022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44914</v>
      </c>
      <c r="E231" s="1" t="n">
        <v>46222</v>
      </c>
      <c r="F231" t="inlineStr">
        <is>
          <t>KALMAR LÄN</t>
        </is>
      </c>
      <c r="G231" t="inlineStr">
        <is>
          <t>TORSÅS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12944-2026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46092</v>
      </c>
      <c r="E232" s="1" t="n">
        <v>46222</v>
      </c>
      <c r="F232" t="inlineStr">
        <is>
          <t>KALMAR LÄN</t>
        </is>
      </c>
      <c r="G232" t="inlineStr">
        <is>
          <t>TORSÅS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12939-2026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46092</v>
      </c>
      <c r="E233" s="1" t="n">
        <v>46222</v>
      </c>
      <c r="F233" t="inlineStr">
        <is>
          <t>KALMAR LÄN</t>
        </is>
      </c>
      <c r="G233" t="inlineStr">
        <is>
          <t>TORSÅS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56360-2022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44890</v>
      </c>
      <c r="E234" s="1" t="n">
        <v>46222</v>
      </c>
      <c r="F234" t="inlineStr">
        <is>
          <t>KALMAR LÄN</t>
        </is>
      </c>
      <c r="G234" t="inlineStr">
        <is>
          <t>TORSÅS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56522-2022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44893</v>
      </c>
      <c r="E235" s="1" t="n">
        <v>46222</v>
      </c>
      <c r="F235" t="inlineStr">
        <is>
          <t>KALMAR LÄN</t>
        </is>
      </c>
      <c r="G235" t="inlineStr">
        <is>
          <t>TORSÅS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61409-2025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46001</v>
      </c>
      <c r="E236" s="1" t="n">
        <v>46222</v>
      </c>
      <c r="F236" t="inlineStr">
        <is>
          <t>KALMAR LÄN</t>
        </is>
      </c>
      <c r="G236" t="inlineStr">
        <is>
          <t>TORSÅS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61498-2025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46001</v>
      </c>
      <c r="E237" s="1" t="n">
        <v>46222</v>
      </c>
      <c r="F237" t="inlineStr">
        <is>
          <t>KALMAR LÄN</t>
        </is>
      </c>
      <c r="G237" t="inlineStr">
        <is>
          <t>TORSÅS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61499-2025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46001</v>
      </c>
      <c r="E238" s="1" t="n">
        <v>46222</v>
      </c>
      <c r="F238" t="inlineStr">
        <is>
          <t>KALMAR LÄN</t>
        </is>
      </c>
      <c r="G238" t="inlineStr">
        <is>
          <t>TORSÅS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51607-2023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45222</v>
      </c>
      <c r="E239" s="1" t="n">
        <v>46222</v>
      </c>
      <c r="F239" t="inlineStr">
        <is>
          <t>KALMAR LÄN</t>
        </is>
      </c>
      <c r="G239" t="inlineStr">
        <is>
          <t>TORSÅS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41572-2022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44827</v>
      </c>
      <c r="E240" s="1" t="n">
        <v>46222</v>
      </c>
      <c r="F240" t="inlineStr">
        <is>
          <t>KALMAR LÄN</t>
        </is>
      </c>
      <c r="G240" t="inlineStr">
        <is>
          <t>TORSÅS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2785-2023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44944</v>
      </c>
      <c r="E241" s="1" t="n">
        <v>46222</v>
      </c>
      <c r="F241" t="inlineStr">
        <is>
          <t>KALMAR LÄN</t>
        </is>
      </c>
      <c r="G241" t="inlineStr">
        <is>
          <t>TORSÅS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22894-2025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45790</v>
      </c>
      <c r="E242" s="1" t="n">
        <v>46222</v>
      </c>
      <c r="F242" t="inlineStr">
        <is>
          <t>KALMAR LÄN</t>
        </is>
      </c>
      <c r="G242" t="inlineStr">
        <is>
          <t>TORSÅS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3554-2023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44950</v>
      </c>
      <c r="E243" s="1" t="n">
        <v>46222</v>
      </c>
      <c r="F243" t="inlineStr">
        <is>
          <t>KALMAR LÄN</t>
        </is>
      </c>
      <c r="G243" t="inlineStr">
        <is>
          <t>TORSÅS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7969-2024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45350</v>
      </c>
      <c r="E244" s="1" t="n">
        <v>46222</v>
      </c>
      <c r="F244" t="inlineStr">
        <is>
          <t>KALMAR LÄN</t>
        </is>
      </c>
      <c r="G244" t="inlineStr">
        <is>
          <t>TORSÅS</t>
        </is>
      </c>
      <c r="I244" t="n">
        <v>13.8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3389-2023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44949</v>
      </c>
      <c r="E245" s="1" t="n">
        <v>46222</v>
      </c>
      <c r="F245" t="inlineStr">
        <is>
          <t>KALMAR LÄN</t>
        </is>
      </c>
      <c r="G245" t="inlineStr">
        <is>
          <t>TORSÅS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4863-2024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45329</v>
      </c>
      <c r="E246" s="1" t="n">
        <v>46222</v>
      </c>
      <c r="F246" t="inlineStr">
        <is>
          <t>KALMAR LÄN</t>
        </is>
      </c>
      <c r="G246" t="inlineStr">
        <is>
          <t>TORSÅS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6393-2023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44965</v>
      </c>
      <c r="E247" s="1" t="n">
        <v>46222</v>
      </c>
      <c r="F247" t="inlineStr">
        <is>
          <t>KALMAR LÄN</t>
        </is>
      </c>
      <c r="G247" t="inlineStr">
        <is>
          <t>TORSÅS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58346-2023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45250</v>
      </c>
      <c r="E248" s="1" t="n">
        <v>46222</v>
      </c>
      <c r="F248" t="inlineStr">
        <is>
          <t>KALMAR LÄN</t>
        </is>
      </c>
      <c r="G248" t="inlineStr">
        <is>
          <t>TORSÅS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9151-2023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44980</v>
      </c>
      <c r="E249" s="1" t="n">
        <v>46222</v>
      </c>
      <c r="F249" t="inlineStr">
        <is>
          <t>KALMAR LÄN</t>
        </is>
      </c>
      <c r="G249" t="inlineStr">
        <is>
          <t>TORSÅS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35046-2023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45145</v>
      </c>
      <c r="E250" s="1" t="n">
        <v>46222</v>
      </c>
      <c r="F250" t="inlineStr">
        <is>
          <t>KALMAR LÄN</t>
        </is>
      </c>
      <c r="G250" t="inlineStr">
        <is>
          <t>TORSÅS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15421-2026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46106</v>
      </c>
      <c r="E251" s="1" t="n">
        <v>46222</v>
      </c>
      <c r="F251" t="inlineStr">
        <is>
          <t>KALMAR LÄN</t>
        </is>
      </c>
      <c r="G251" t="inlineStr">
        <is>
          <t>TORSÅS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15485-2026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46106</v>
      </c>
      <c r="E252" s="1" t="n">
        <v>46222</v>
      </c>
      <c r="F252" t="inlineStr">
        <is>
          <t>KALMAR LÄN</t>
        </is>
      </c>
      <c r="G252" t="inlineStr">
        <is>
          <t>TORSÅS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33939-2022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44790</v>
      </c>
      <c r="E253" s="1" t="n">
        <v>46222</v>
      </c>
      <c r="F253" t="inlineStr">
        <is>
          <t>KALMAR LÄN</t>
        </is>
      </c>
      <c r="G253" t="inlineStr">
        <is>
          <t>TORSÅS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1909-2026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46035</v>
      </c>
      <c r="E254" s="1" t="n">
        <v>46222</v>
      </c>
      <c r="F254" t="inlineStr">
        <is>
          <t>KALMAR LÄN</t>
        </is>
      </c>
      <c r="G254" t="inlineStr">
        <is>
          <t>TORSÅS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1904-2026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46035</v>
      </c>
      <c r="E255" s="1" t="n">
        <v>46222</v>
      </c>
      <c r="F255" t="inlineStr">
        <is>
          <t>KALMAR LÄN</t>
        </is>
      </c>
      <c r="G255" t="inlineStr">
        <is>
          <t>TORSÅS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19789-2023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45051</v>
      </c>
      <c r="E256" s="1" t="n">
        <v>46222</v>
      </c>
      <c r="F256" t="inlineStr">
        <is>
          <t>KALMAR LÄN</t>
        </is>
      </c>
      <c r="G256" t="inlineStr">
        <is>
          <t>TORSÅS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43066-2024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45567</v>
      </c>
      <c r="E257" s="1" t="n">
        <v>46222</v>
      </c>
      <c r="F257" t="inlineStr">
        <is>
          <t>KALMAR LÄN</t>
        </is>
      </c>
      <c r="G257" t="inlineStr">
        <is>
          <t>TORSÅS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60360-2022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44910</v>
      </c>
      <c r="E258" s="1" t="n">
        <v>46222</v>
      </c>
      <c r="F258" t="inlineStr">
        <is>
          <t>KALMAR LÄN</t>
        </is>
      </c>
      <c r="G258" t="inlineStr">
        <is>
          <t>TORSÅS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16834-2026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46113</v>
      </c>
      <c r="E259" s="1" t="n">
        <v>46222</v>
      </c>
      <c r="F259" t="inlineStr">
        <is>
          <t>KALMAR LÄN</t>
        </is>
      </c>
      <c r="G259" t="inlineStr">
        <is>
          <t>TORSÅS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16841-2026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46113</v>
      </c>
      <c r="E260" s="1" t="n">
        <v>46222</v>
      </c>
      <c r="F260" t="inlineStr">
        <is>
          <t>KALMAR LÄN</t>
        </is>
      </c>
      <c r="G260" t="inlineStr">
        <is>
          <t>TORSÅS</t>
        </is>
      </c>
      <c r="I260" t="n">
        <v>6.5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1663-2023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44938</v>
      </c>
      <c r="E261" s="1" t="n">
        <v>46222</v>
      </c>
      <c r="F261" t="inlineStr">
        <is>
          <t>KALMAR LÄN</t>
        </is>
      </c>
      <c r="G261" t="inlineStr">
        <is>
          <t>TORSÅS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10472-2023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44987</v>
      </c>
      <c r="E262" s="1" t="n">
        <v>46222</v>
      </c>
      <c r="F262" t="inlineStr">
        <is>
          <t>KALMAR LÄN</t>
        </is>
      </c>
      <c r="G262" t="inlineStr">
        <is>
          <t>TORSÅS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62101-2021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44502</v>
      </c>
      <c r="E263" s="1" t="n">
        <v>46222</v>
      </c>
      <c r="F263" t="inlineStr">
        <is>
          <t>KALMAR LÄN</t>
        </is>
      </c>
      <c r="G263" t="inlineStr">
        <is>
          <t>TORSÅS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17223-2026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46119</v>
      </c>
      <c r="E264" s="1" t="n">
        <v>46222</v>
      </c>
      <c r="F264" t="inlineStr">
        <is>
          <t>KALMAR LÄN</t>
        </is>
      </c>
      <c r="G264" t="inlineStr">
        <is>
          <t>TORSÅS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65155-2023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45288</v>
      </c>
      <c r="E265" s="1" t="n">
        <v>46222</v>
      </c>
      <c r="F265" t="inlineStr">
        <is>
          <t>KALMAR LÄN</t>
        </is>
      </c>
      <c r="G265" t="inlineStr">
        <is>
          <t>TORSÅS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65159-2023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45288</v>
      </c>
      <c r="E266" s="1" t="n">
        <v>46222</v>
      </c>
      <c r="F266" t="inlineStr">
        <is>
          <t>KALMAR LÄN</t>
        </is>
      </c>
      <c r="G266" t="inlineStr">
        <is>
          <t>TORSÅS</t>
        </is>
      </c>
      <c r="I266" t="n">
        <v>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17427-2026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46120</v>
      </c>
      <c r="E267" s="1" t="n">
        <v>46222</v>
      </c>
      <c r="F267" t="inlineStr">
        <is>
          <t>KALMAR LÄN</t>
        </is>
      </c>
      <c r="G267" t="inlineStr">
        <is>
          <t>TORSÅS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15162-2023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45016</v>
      </c>
      <c r="E268" s="1" t="n">
        <v>46222</v>
      </c>
      <c r="F268" t="inlineStr">
        <is>
          <t>KALMAR LÄN</t>
        </is>
      </c>
      <c r="G268" t="inlineStr">
        <is>
          <t>TORSÅS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32525-2024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45513</v>
      </c>
      <c r="E269" s="1" t="n">
        <v>46222</v>
      </c>
      <c r="F269" t="inlineStr">
        <is>
          <t>KALMAR LÄN</t>
        </is>
      </c>
      <c r="G269" t="inlineStr">
        <is>
          <t>TORSÅS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32532-2024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45513</v>
      </c>
      <c r="E270" s="1" t="n">
        <v>46222</v>
      </c>
      <c r="F270" t="inlineStr">
        <is>
          <t>KALMAR LÄN</t>
        </is>
      </c>
      <c r="G270" t="inlineStr">
        <is>
          <t>TORSÅS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21305-2024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45440</v>
      </c>
      <c r="E271" s="1" t="n">
        <v>46222</v>
      </c>
      <c r="F271" t="inlineStr">
        <is>
          <t>KALMAR LÄN</t>
        </is>
      </c>
      <c r="G271" t="inlineStr">
        <is>
          <t>TORSÅS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13074-2025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45734</v>
      </c>
      <c r="E272" s="1" t="n">
        <v>46222</v>
      </c>
      <c r="F272" t="inlineStr">
        <is>
          <t>KALMAR LÄN</t>
        </is>
      </c>
      <c r="G272" t="inlineStr">
        <is>
          <t>TORSÅS</t>
        </is>
      </c>
      <c r="I272" t="n">
        <v>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24666-2023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45084</v>
      </c>
      <c r="E273" s="1" t="n">
        <v>46222</v>
      </c>
      <c r="F273" t="inlineStr">
        <is>
          <t>KALMAR LÄN</t>
        </is>
      </c>
      <c r="G273" t="inlineStr">
        <is>
          <t>TORSÅS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6819-2023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44967</v>
      </c>
      <c r="E274" s="1" t="n">
        <v>46222</v>
      </c>
      <c r="F274" t="inlineStr">
        <is>
          <t>KALMAR LÄN</t>
        </is>
      </c>
      <c r="G274" t="inlineStr">
        <is>
          <t>TORSÅS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13024-2026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46092</v>
      </c>
      <c r="E275" s="1" t="n">
        <v>46222</v>
      </c>
      <c r="F275" t="inlineStr">
        <is>
          <t>KALMAR LÄN</t>
        </is>
      </c>
      <c r="G275" t="inlineStr">
        <is>
          <t>TORSÅS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13027-2026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46092</v>
      </c>
      <c r="E276" s="1" t="n">
        <v>46222</v>
      </c>
      <c r="F276" t="inlineStr">
        <is>
          <t>KALMAR LÄN</t>
        </is>
      </c>
      <c r="G276" t="inlineStr">
        <is>
          <t>TORSÅS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5106-2024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45330</v>
      </c>
      <c r="E277" s="1" t="n">
        <v>46222</v>
      </c>
      <c r="F277" t="inlineStr">
        <is>
          <t>KALMAR LÄN</t>
        </is>
      </c>
      <c r="G277" t="inlineStr">
        <is>
          <t>TORSÅS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32573-2025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45838</v>
      </c>
      <c r="E278" s="1" t="n">
        <v>46222</v>
      </c>
      <c r="F278" t="inlineStr">
        <is>
          <t>KALMAR LÄN</t>
        </is>
      </c>
      <c r="G278" t="inlineStr">
        <is>
          <t>TORSÅS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13022-2026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46092</v>
      </c>
      <c r="E279" s="1" t="n">
        <v>46222</v>
      </c>
      <c r="F279" t="inlineStr">
        <is>
          <t>KALMAR LÄN</t>
        </is>
      </c>
      <c r="G279" t="inlineStr">
        <is>
          <t>TORSÅS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40046-2023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45167</v>
      </c>
      <c r="E280" s="1" t="n">
        <v>46222</v>
      </c>
      <c r="F280" t="inlineStr">
        <is>
          <t>KALMAR LÄN</t>
        </is>
      </c>
      <c r="G280" t="inlineStr">
        <is>
          <t>TORSÅS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40047-2023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45167</v>
      </c>
      <c r="E281" s="1" t="n">
        <v>46222</v>
      </c>
      <c r="F281" t="inlineStr">
        <is>
          <t>KALMAR LÄN</t>
        </is>
      </c>
      <c r="G281" t="inlineStr">
        <is>
          <t>TORSÅS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13023-2026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46092</v>
      </c>
      <c r="E282" s="1" t="n">
        <v>46222</v>
      </c>
      <c r="F282" t="inlineStr">
        <is>
          <t>KALMAR LÄN</t>
        </is>
      </c>
      <c r="G282" t="inlineStr">
        <is>
          <t>TORSÅS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70315-2021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44536</v>
      </c>
      <c r="E283" s="1" t="n">
        <v>46222</v>
      </c>
      <c r="F283" t="inlineStr">
        <is>
          <t>KALMAR LÄN</t>
        </is>
      </c>
      <c r="G283" t="inlineStr">
        <is>
          <t>TORSÅS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18437-2024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45425</v>
      </c>
      <c r="E284" s="1" t="n">
        <v>46222</v>
      </c>
      <c r="F284" t="inlineStr">
        <is>
          <t>KALMAR LÄN</t>
        </is>
      </c>
      <c r="G284" t="inlineStr">
        <is>
          <t>TORSÅS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13025-2026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46092</v>
      </c>
      <c r="E285" s="1" t="n">
        <v>46222</v>
      </c>
      <c r="F285" t="inlineStr">
        <is>
          <t>KALMAR LÄN</t>
        </is>
      </c>
      <c r="G285" t="inlineStr">
        <is>
          <t>TORSÅS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13029-2026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46222</v>
      </c>
      <c r="F286" t="inlineStr">
        <is>
          <t>KALMAR LÄN</t>
        </is>
      </c>
      <c r="G286" t="inlineStr">
        <is>
          <t>TORSÅS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50675-2024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45601</v>
      </c>
      <c r="E287" s="1" t="n">
        <v>46222</v>
      </c>
      <c r="F287" t="inlineStr">
        <is>
          <t>KALMAR LÄN</t>
        </is>
      </c>
      <c r="G287" t="inlineStr">
        <is>
          <t>TORSÅS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47004-2023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45201</v>
      </c>
      <c r="E288" s="1" t="n">
        <v>46222</v>
      </c>
      <c r="F288" t="inlineStr">
        <is>
          <t>KALMAR LÄN</t>
        </is>
      </c>
      <c r="G288" t="inlineStr">
        <is>
          <t>TORSÅS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21604-2023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45063</v>
      </c>
      <c r="E289" s="1" t="n">
        <v>46222</v>
      </c>
      <c r="F289" t="inlineStr">
        <is>
          <t>KALMAR LÄN</t>
        </is>
      </c>
      <c r="G289" t="inlineStr">
        <is>
          <t>TORSÅS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56311-2024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45624</v>
      </c>
      <c r="E290" s="1" t="n">
        <v>46222</v>
      </c>
      <c r="F290" t="inlineStr">
        <is>
          <t>KALMAR LÄN</t>
        </is>
      </c>
      <c r="G290" t="inlineStr">
        <is>
          <t>TORSÅS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16152-2023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45027</v>
      </c>
      <c r="E291" s="1" t="n">
        <v>46222</v>
      </c>
      <c r="F291" t="inlineStr">
        <is>
          <t>KALMAR LÄN</t>
        </is>
      </c>
      <c r="G291" t="inlineStr">
        <is>
          <t>TORSÅS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34636-2022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44795</v>
      </c>
      <c r="E292" s="1" t="n">
        <v>46222</v>
      </c>
      <c r="F292" t="inlineStr">
        <is>
          <t>KALMAR LÄN</t>
        </is>
      </c>
      <c r="G292" t="inlineStr">
        <is>
          <t>TORSÅS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12163-2023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44998</v>
      </c>
      <c r="E293" s="1" t="n">
        <v>46222</v>
      </c>
      <c r="F293" t="inlineStr">
        <is>
          <t>KALMAR LÄN</t>
        </is>
      </c>
      <c r="G293" t="inlineStr">
        <is>
          <t>TORSÅS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45556-2023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45194</v>
      </c>
      <c r="E294" s="1" t="n">
        <v>46222</v>
      </c>
      <c r="F294" t="inlineStr">
        <is>
          <t>KALMAR LÄN</t>
        </is>
      </c>
      <c r="G294" t="inlineStr">
        <is>
          <t>TORSÅS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19587-2023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45050</v>
      </c>
      <c r="E295" s="1" t="n">
        <v>46222</v>
      </c>
      <c r="F295" t="inlineStr">
        <is>
          <t>KALMAR LÄN</t>
        </is>
      </c>
      <c r="G295" t="inlineStr">
        <is>
          <t>TORSÅS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52598-2023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45225</v>
      </c>
      <c r="E296" s="1" t="n">
        <v>46222</v>
      </c>
      <c r="F296" t="inlineStr">
        <is>
          <t>KALMAR LÄN</t>
        </is>
      </c>
      <c r="G296" t="inlineStr">
        <is>
          <t>TORSÅS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46038-2023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45196</v>
      </c>
      <c r="E297" s="1" t="n">
        <v>46222</v>
      </c>
      <c r="F297" t="inlineStr">
        <is>
          <t>KALMAR LÄN</t>
        </is>
      </c>
      <c r="G297" t="inlineStr">
        <is>
          <t>TORSÅS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29999-2025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45826</v>
      </c>
      <c r="E298" s="1" t="n">
        <v>46222</v>
      </c>
      <c r="F298" t="inlineStr">
        <is>
          <t>KALMAR LÄN</t>
        </is>
      </c>
      <c r="G298" t="inlineStr">
        <is>
          <t>TORSÅS</t>
        </is>
      </c>
      <c r="I298" t="n">
        <v>15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53349-2022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44879</v>
      </c>
      <c r="E299" s="1" t="n">
        <v>46222</v>
      </c>
      <c r="F299" t="inlineStr">
        <is>
          <t>KALMAR LÄN</t>
        </is>
      </c>
      <c r="G299" t="inlineStr">
        <is>
          <t>TORSÅS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48546-2023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45208</v>
      </c>
      <c r="E300" s="1" t="n">
        <v>46222</v>
      </c>
      <c r="F300" t="inlineStr">
        <is>
          <t>KALMAR LÄN</t>
        </is>
      </c>
      <c r="G300" t="inlineStr">
        <is>
          <t>TORSÅS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8618-2026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46066</v>
      </c>
      <c r="E301" s="1" t="n">
        <v>46222</v>
      </c>
      <c r="F301" t="inlineStr">
        <is>
          <t>KALMAR LÄN</t>
        </is>
      </c>
      <c r="G301" t="inlineStr">
        <is>
          <t>TORSÅS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49330-2022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44861</v>
      </c>
      <c r="E302" s="1" t="n">
        <v>46222</v>
      </c>
      <c r="F302" t="inlineStr">
        <is>
          <t>KALMAR LÄN</t>
        </is>
      </c>
      <c r="G302" t="inlineStr">
        <is>
          <t>TORSÅS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49331-2022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44861</v>
      </c>
      <c r="E303" s="1" t="n">
        <v>46222</v>
      </c>
      <c r="F303" t="inlineStr">
        <is>
          <t>KALMAR LÄN</t>
        </is>
      </c>
      <c r="G303" t="inlineStr">
        <is>
          <t>TORSÅS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46030-2023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45196</v>
      </c>
      <c r="E304" s="1" t="n">
        <v>46222</v>
      </c>
      <c r="F304" t="inlineStr">
        <is>
          <t>KALMAR LÄN</t>
        </is>
      </c>
      <c r="G304" t="inlineStr">
        <is>
          <t>TORSÅS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23776-2022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44722</v>
      </c>
      <c r="E305" s="1" t="n">
        <v>46222</v>
      </c>
      <c r="F305" t="inlineStr">
        <is>
          <t>KALMAR LÄN</t>
        </is>
      </c>
      <c r="G305" t="inlineStr">
        <is>
          <t>TORSÅS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45690-2023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45195</v>
      </c>
      <c r="E306" s="1" t="n">
        <v>46222</v>
      </c>
      <c r="F306" t="inlineStr">
        <is>
          <t>KALMAR LÄN</t>
        </is>
      </c>
      <c r="G306" t="inlineStr">
        <is>
          <t>TORSÅS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47312-2025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45930</v>
      </c>
      <c r="E307" s="1" t="n">
        <v>46222</v>
      </c>
      <c r="F307" t="inlineStr">
        <is>
          <t>KALMAR LÄN</t>
        </is>
      </c>
      <c r="G307" t="inlineStr">
        <is>
          <t>TORSÅS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58804-2023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45252</v>
      </c>
      <c r="E308" s="1" t="n">
        <v>46222</v>
      </c>
      <c r="F308" t="inlineStr">
        <is>
          <t>KALMAR LÄN</t>
        </is>
      </c>
      <c r="G308" t="inlineStr">
        <is>
          <t>TORSÅS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59275-2023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45253</v>
      </c>
      <c r="E309" s="1" t="n">
        <v>46222</v>
      </c>
      <c r="F309" t="inlineStr">
        <is>
          <t>KALMAR LÄN</t>
        </is>
      </c>
      <c r="G309" t="inlineStr">
        <is>
          <t>TORSÅS</t>
        </is>
      </c>
      <c r="I309" t="n">
        <v>12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58439-2023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45250</v>
      </c>
      <c r="E310" s="1" t="n">
        <v>46222</v>
      </c>
      <c r="F310" t="inlineStr">
        <is>
          <t>KALMAR LÄN</t>
        </is>
      </c>
      <c r="G310" t="inlineStr">
        <is>
          <t>TORSÅS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38114-2023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45161</v>
      </c>
      <c r="E311" s="1" t="n">
        <v>46222</v>
      </c>
      <c r="F311" t="inlineStr">
        <is>
          <t>KALMAR LÄN</t>
        </is>
      </c>
      <c r="G311" t="inlineStr">
        <is>
          <t>TORSÅS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37551-2023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45159</v>
      </c>
      <c r="E312" s="1" t="n">
        <v>46222</v>
      </c>
      <c r="F312" t="inlineStr">
        <is>
          <t>KALMAR LÄN</t>
        </is>
      </c>
      <c r="G312" t="inlineStr">
        <is>
          <t>TORSÅS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42909-2023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45182</v>
      </c>
      <c r="E313" s="1" t="n">
        <v>46222</v>
      </c>
      <c r="F313" t="inlineStr">
        <is>
          <t>KALMAR LÄN</t>
        </is>
      </c>
      <c r="G313" t="inlineStr">
        <is>
          <t>TORSÅS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55967-2023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45240</v>
      </c>
      <c r="E314" s="1" t="n">
        <v>46222</v>
      </c>
      <c r="F314" t="inlineStr">
        <is>
          <t>KALMAR LÄN</t>
        </is>
      </c>
      <c r="G314" t="inlineStr">
        <is>
          <t>TORSÅS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45555-2023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45194</v>
      </c>
      <c r="E315" s="1" t="n">
        <v>46222</v>
      </c>
      <c r="F315" t="inlineStr">
        <is>
          <t>KALMAR LÄN</t>
        </is>
      </c>
      <c r="G315" t="inlineStr">
        <is>
          <t>TORSÅS</t>
        </is>
      </c>
      <c r="H315" t="inlineStr">
        <is>
          <t>Kommuner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5959-2025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45695</v>
      </c>
      <c r="E316" s="1" t="n">
        <v>46222</v>
      </c>
      <c r="F316" t="inlineStr">
        <is>
          <t>KALMAR LÄN</t>
        </is>
      </c>
      <c r="G316" t="inlineStr">
        <is>
          <t>TORSÅS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48543-2023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45208</v>
      </c>
      <c r="E317" s="1" t="n">
        <v>46222</v>
      </c>
      <c r="F317" t="inlineStr">
        <is>
          <t>KALMAR LÄN</t>
        </is>
      </c>
      <c r="G317" t="inlineStr">
        <is>
          <t>TORSÅS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9793-2025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45716</v>
      </c>
      <c r="E318" s="1" t="n">
        <v>46222</v>
      </c>
      <c r="F318" t="inlineStr">
        <is>
          <t>KALMAR LÄN</t>
        </is>
      </c>
      <c r="G318" t="inlineStr">
        <is>
          <t>TORSÅS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59017-2023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45252</v>
      </c>
      <c r="E319" s="1" t="n">
        <v>46222</v>
      </c>
      <c r="F319" t="inlineStr">
        <is>
          <t>KALMAR LÄN</t>
        </is>
      </c>
      <c r="G319" t="inlineStr">
        <is>
          <t>TORSÅS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60742-2023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45260</v>
      </c>
      <c r="E320" s="1" t="n">
        <v>46222</v>
      </c>
      <c r="F320" t="inlineStr">
        <is>
          <t>KALMAR LÄN</t>
        </is>
      </c>
      <c r="G320" t="inlineStr">
        <is>
          <t>TORSÅS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27217-2022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44741</v>
      </c>
      <c r="E321" s="1" t="n">
        <v>46222</v>
      </c>
      <c r="F321" t="inlineStr">
        <is>
          <t>KALMAR LÄN</t>
        </is>
      </c>
      <c r="G321" t="inlineStr">
        <is>
          <t>TORSÅS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21192-2026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46146</v>
      </c>
      <c r="E322" s="1" t="n">
        <v>46222</v>
      </c>
      <c r="F322" t="inlineStr">
        <is>
          <t>KALMAR LÄN</t>
        </is>
      </c>
      <c r="G322" t="inlineStr">
        <is>
          <t>TORSÅS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52594-2023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45225</v>
      </c>
      <c r="E323" s="1" t="n">
        <v>46222</v>
      </c>
      <c r="F323" t="inlineStr">
        <is>
          <t>KALMAR LÄN</t>
        </is>
      </c>
      <c r="G323" t="inlineStr">
        <is>
          <t>TORSÅS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51263-2023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45219</v>
      </c>
      <c r="E324" s="1" t="n">
        <v>46222</v>
      </c>
      <c r="F324" t="inlineStr">
        <is>
          <t>KALMAR LÄN</t>
        </is>
      </c>
      <c r="G324" t="inlineStr">
        <is>
          <t>TORSÅS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51274-2023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45219</v>
      </c>
      <c r="E325" s="1" t="n">
        <v>46222</v>
      </c>
      <c r="F325" t="inlineStr">
        <is>
          <t>KALMAR LÄN</t>
        </is>
      </c>
      <c r="G325" t="inlineStr">
        <is>
          <t>TORSÅS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51275-2023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45219</v>
      </c>
      <c r="E326" s="1" t="n">
        <v>46222</v>
      </c>
      <c r="F326" t="inlineStr">
        <is>
          <t>KALMAR LÄN</t>
        </is>
      </c>
      <c r="G326" t="inlineStr">
        <is>
          <t>TORSÅS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21577-2022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44706</v>
      </c>
      <c r="E327" s="1" t="n">
        <v>46222</v>
      </c>
      <c r="F327" t="inlineStr">
        <is>
          <t>KALMAR LÄN</t>
        </is>
      </c>
      <c r="G327" t="inlineStr">
        <is>
          <t>TORSÅS</t>
        </is>
      </c>
      <c r="I327" t="n">
        <v>8.300000000000001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55675-2021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44476</v>
      </c>
      <c r="E328" s="1" t="n">
        <v>46222</v>
      </c>
      <c r="F328" t="inlineStr">
        <is>
          <t>KALMAR LÄN</t>
        </is>
      </c>
      <c r="G328" t="inlineStr">
        <is>
          <t>TORSÅS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5104-2024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45330</v>
      </c>
      <c r="E329" s="1" t="n">
        <v>46222</v>
      </c>
      <c r="F329" t="inlineStr">
        <is>
          <t>KALMAR LÄN</t>
        </is>
      </c>
      <c r="G329" t="inlineStr">
        <is>
          <t>TORSÅS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39728-2024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45552</v>
      </c>
      <c r="E330" s="1" t="n">
        <v>46222</v>
      </c>
      <c r="F330" t="inlineStr">
        <is>
          <t>KALMAR LÄN</t>
        </is>
      </c>
      <c r="G330" t="inlineStr">
        <is>
          <t>TORSÅS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46572-2023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45198</v>
      </c>
      <c r="E331" s="1" t="n">
        <v>46222</v>
      </c>
      <c r="F331" t="inlineStr">
        <is>
          <t>KALMAR LÄN</t>
        </is>
      </c>
      <c r="G331" t="inlineStr">
        <is>
          <t>TORSÅS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64373-2023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45280</v>
      </c>
      <c r="E332" s="1" t="n">
        <v>46222</v>
      </c>
      <c r="F332" t="inlineStr">
        <is>
          <t>KALMAR LÄN</t>
        </is>
      </c>
      <c r="G332" t="inlineStr">
        <is>
          <t>TORSÅS</t>
        </is>
      </c>
      <c r="I332" t="n">
        <v>19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46751-2022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44851</v>
      </c>
      <c r="E333" s="1" t="n">
        <v>46222</v>
      </c>
      <c r="F333" t="inlineStr">
        <is>
          <t>KALMAR LÄN</t>
        </is>
      </c>
      <c r="G333" t="inlineStr">
        <is>
          <t>TORSÅS</t>
        </is>
      </c>
      <c r="I333" t="n">
        <v>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4898-2023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44958</v>
      </c>
      <c r="E334" s="1" t="n">
        <v>46222</v>
      </c>
      <c r="F334" t="inlineStr">
        <is>
          <t>KALMAR LÄN</t>
        </is>
      </c>
      <c r="G334" t="inlineStr">
        <is>
          <t>TORSÅS</t>
        </is>
      </c>
      <c r="H334" t="inlineStr">
        <is>
          <t>Övriga Aktiebolag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45568-2023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45194</v>
      </c>
      <c r="E335" s="1" t="n">
        <v>46222</v>
      </c>
      <c r="F335" t="inlineStr">
        <is>
          <t>KALMAR LÄN</t>
        </is>
      </c>
      <c r="G335" t="inlineStr">
        <is>
          <t>TORSÅS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58038-2022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44900</v>
      </c>
      <c r="E336" s="1" t="n">
        <v>46222</v>
      </c>
      <c r="F336" t="inlineStr">
        <is>
          <t>KALMAR LÄN</t>
        </is>
      </c>
      <c r="G336" t="inlineStr">
        <is>
          <t>TORSÅS</t>
        </is>
      </c>
      <c r="I336" t="n">
        <v>7.8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35048-2023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45145</v>
      </c>
      <c r="E337" s="1" t="n">
        <v>46222</v>
      </c>
      <c r="F337" t="inlineStr">
        <is>
          <t>KALMAR LÄN</t>
        </is>
      </c>
      <c r="G337" t="inlineStr">
        <is>
          <t>TORSÅS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6366-2023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44965</v>
      </c>
      <c r="E338" s="1" t="n">
        <v>46222</v>
      </c>
      <c r="F338" t="inlineStr">
        <is>
          <t>KALMAR LÄN</t>
        </is>
      </c>
      <c r="G338" t="inlineStr">
        <is>
          <t>TORSÅS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33602-2023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45132</v>
      </c>
      <c r="E339" s="1" t="n">
        <v>46222</v>
      </c>
      <c r="F339" t="inlineStr">
        <is>
          <t>KALMAR LÄN</t>
        </is>
      </c>
      <c r="G339" t="inlineStr">
        <is>
          <t>TORSÅS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9676-2024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45362</v>
      </c>
      <c r="E340" s="1" t="n">
        <v>46222</v>
      </c>
      <c r="F340" t="inlineStr">
        <is>
          <t>KALMAR LÄN</t>
        </is>
      </c>
      <c r="G340" t="inlineStr">
        <is>
          <t>TORSÅS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9683-2024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45362</v>
      </c>
      <c r="E341" s="1" t="n">
        <v>46222</v>
      </c>
      <c r="F341" t="inlineStr">
        <is>
          <t>KALMAR LÄN</t>
        </is>
      </c>
      <c r="G341" t="inlineStr">
        <is>
          <t>TORSÅS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53367-2022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44879</v>
      </c>
      <c r="E342" s="1" t="n">
        <v>46222</v>
      </c>
      <c r="F342" t="inlineStr">
        <is>
          <t>KALMAR LÄN</t>
        </is>
      </c>
      <c r="G342" t="inlineStr">
        <is>
          <t>TORSÅS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42910-2025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45908</v>
      </c>
      <c r="E343" s="1" t="n">
        <v>46222</v>
      </c>
      <c r="F343" t="inlineStr">
        <is>
          <t>KALMAR LÄN</t>
        </is>
      </c>
      <c r="G343" t="inlineStr">
        <is>
          <t>TORSÅS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8479-2022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44613</v>
      </c>
      <c r="E344" s="1" t="n">
        <v>46222</v>
      </c>
      <c r="F344" t="inlineStr">
        <is>
          <t>KALMAR LÄN</t>
        </is>
      </c>
      <c r="G344" t="inlineStr">
        <is>
          <t>TORSÅS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6225-2022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44600</v>
      </c>
      <c r="E345" s="1" t="n">
        <v>46222</v>
      </c>
      <c r="F345" t="inlineStr">
        <is>
          <t>KALMAR LÄN</t>
        </is>
      </c>
      <c r="G345" t="inlineStr">
        <is>
          <t>TORSÅS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26711-2023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45093</v>
      </c>
      <c r="E346" s="1" t="n">
        <v>46222</v>
      </c>
      <c r="F346" t="inlineStr">
        <is>
          <t>KALMAR LÄN</t>
        </is>
      </c>
      <c r="G346" t="inlineStr">
        <is>
          <t>TORSÅS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26714-2023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45093</v>
      </c>
      <c r="E347" s="1" t="n">
        <v>46222</v>
      </c>
      <c r="F347" t="inlineStr">
        <is>
          <t>KALMAR LÄN</t>
        </is>
      </c>
      <c r="G347" t="inlineStr">
        <is>
          <t>TORSÅS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23088-2023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45075</v>
      </c>
      <c r="E348" s="1" t="n">
        <v>46222</v>
      </c>
      <c r="F348" t="inlineStr">
        <is>
          <t>KALMAR LÄN</t>
        </is>
      </c>
      <c r="G348" t="inlineStr">
        <is>
          <t>TORSÅS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8426-2023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44977</v>
      </c>
      <c r="E349" s="1" t="n">
        <v>46222</v>
      </c>
      <c r="F349" t="inlineStr">
        <is>
          <t>KALMAR LÄN</t>
        </is>
      </c>
      <c r="G349" t="inlineStr">
        <is>
          <t>TORSÅS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12240-2022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44637</v>
      </c>
      <c r="E350" s="1" t="n">
        <v>46222</v>
      </c>
      <c r="F350" t="inlineStr">
        <is>
          <t>KALMAR LÄN</t>
        </is>
      </c>
      <c r="G350" t="inlineStr">
        <is>
          <t>TORSÅS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46082-2023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45196</v>
      </c>
      <c r="E351" s="1" t="n">
        <v>46222</v>
      </c>
      <c r="F351" t="inlineStr">
        <is>
          <t>KALMAR LÄN</t>
        </is>
      </c>
      <c r="G351" t="inlineStr">
        <is>
          <t>TORSÅS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14937-2022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44657</v>
      </c>
      <c r="E352" s="1" t="n">
        <v>46222</v>
      </c>
      <c r="F352" t="inlineStr">
        <is>
          <t>KALMAR LÄN</t>
        </is>
      </c>
      <c r="G352" t="inlineStr">
        <is>
          <t>TORSÅS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58615-2023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45251</v>
      </c>
      <c r="E353" s="1" t="n">
        <v>46222</v>
      </c>
      <c r="F353" t="inlineStr">
        <is>
          <t>KALMAR LÄN</t>
        </is>
      </c>
      <c r="G353" t="inlineStr">
        <is>
          <t>TORSÅS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38521-2021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44407</v>
      </c>
      <c r="E354" s="1" t="n">
        <v>46222</v>
      </c>
      <c r="F354" t="inlineStr">
        <is>
          <t>KALMAR LÄN</t>
        </is>
      </c>
      <c r="G354" t="inlineStr">
        <is>
          <t>TORSÅS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29491-2026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46203</v>
      </c>
      <c r="E355" s="1" t="n">
        <v>46222</v>
      </c>
      <c r="F355" t="inlineStr">
        <is>
          <t>KALMAR LÄN</t>
        </is>
      </c>
      <c r="G355" t="inlineStr">
        <is>
          <t>TORSÅS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52659-2024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45610</v>
      </c>
      <c r="E356" s="1" t="n">
        <v>46222</v>
      </c>
      <c r="F356" t="inlineStr">
        <is>
          <t>KALMAR LÄN</t>
        </is>
      </c>
      <c r="G356" t="inlineStr">
        <is>
          <t>TORSÅS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34285-2022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44792</v>
      </c>
      <c r="E357" s="1" t="n">
        <v>46222</v>
      </c>
      <c r="F357" t="inlineStr">
        <is>
          <t>KALMAR LÄN</t>
        </is>
      </c>
      <c r="G357" t="inlineStr">
        <is>
          <t>TORSÅS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23035-2026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46161</v>
      </c>
      <c r="E358" s="1" t="n">
        <v>46222</v>
      </c>
      <c r="F358" t="inlineStr">
        <is>
          <t>KALMAR LÄN</t>
        </is>
      </c>
      <c r="G358" t="inlineStr">
        <is>
          <t>TORSÅS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51610-2023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45222</v>
      </c>
      <c r="E359" s="1" t="n">
        <v>46222</v>
      </c>
      <c r="F359" t="inlineStr">
        <is>
          <t>KALMAR LÄN</t>
        </is>
      </c>
      <c r="G359" t="inlineStr">
        <is>
          <t>TORSÅS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4926-2023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44958</v>
      </c>
      <c r="E360" s="1" t="n">
        <v>46222</v>
      </c>
      <c r="F360" t="inlineStr">
        <is>
          <t>KALMAR LÄN</t>
        </is>
      </c>
      <c r="G360" t="inlineStr">
        <is>
          <t>TORSÅS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18045-2023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45040</v>
      </c>
      <c r="E361" s="1" t="n">
        <v>46222</v>
      </c>
      <c r="F361" t="inlineStr">
        <is>
          <t>KALMAR LÄN</t>
        </is>
      </c>
      <c r="G361" t="inlineStr">
        <is>
          <t>TORSÅS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49129-2023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45210</v>
      </c>
      <c r="E362" s="1" t="n">
        <v>46222</v>
      </c>
      <c r="F362" t="inlineStr">
        <is>
          <t>KALMAR LÄN</t>
        </is>
      </c>
      <c r="G362" t="inlineStr">
        <is>
          <t>TORSÅS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18718-2024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45426</v>
      </c>
      <c r="E363" s="1" t="n">
        <v>46222</v>
      </c>
      <c r="F363" t="inlineStr">
        <is>
          <t>KALMAR LÄN</t>
        </is>
      </c>
      <c r="G363" t="inlineStr">
        <is>
          <t>TORSÅS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38847-2023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45163</v>
      </c>
      <c r="E364" s="1" t="n">
        <v>46222</v>
      </c>
      <c r="F364" t="inlineStr">
        <is>
          <t>KALMAR LÄN</t>
        </is>
      </c>
      <c r="G364" t="inlineStr">
        <is>
          <t>TORSÅS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38850-2023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45163</v>
      </c>
      <c r="E365" s="1" t="n">
        <v>46222</v>
      </c>
      <c r="F365" t="inlineStr">
        <is>
          <t>KALMAR LÄN</t>
        </is>
      </c>
      <c r="G365" t="inlineStr">
        <is>
          <t>TORSÅS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16409-2026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46111</v>
      </c>
      <c r="E366" s="1" t="n">
        <v>46222</v>
      </c>
      <c r="F366" t="inlineStr">
        <is>
          <t>KALMAR LÄN</t>
        </is>
      </c>
      <c r="G366" t="inlineStr">
        <is>
          <t>TORSÅS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4925-2022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44593</v>
      </c>
      <c r="E367" s="1" t="n">
        <v>46222</v>
      </c>
      <c r="F367" t="inlineStr">
        <is>
          <t>KALMAR LÄN</t>
        </is>
      </c>
      <c r="G367" t="inlineStr">
        <is>
          <t>TORSÅS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4928-2023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44958</v>
      </c>
      <c r="E368" s="1" t="n">
        <v>46222</v>
      </c>
      <c r="F368" t="inlineStr">
        <is>
          <t>KALMAR LÄN</t>
        </is>
      </c>
      <c r="G368" t="inlineStr">
        <is>
          <t>TORSÅS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66543-2021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44519</v>
      </c>
      <c r="E369" s="1" t="n">
        <v>46222</v>
      </c>
      <c r="F369" t="inlineStr">
        <is>
          <t>KALMAR LÄN</t>
        </is>
      </c>
      <c r="G369" t="inlineStr">
        <is>
          <t>TORSÅS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12951-2023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45001</v>
      </c>
      <c r="E370" s="1" t="n">
        <v>46222</v>
      </c>
      <c r="F370" t="inlineStr">
        <is>
          <t>KALMAR LÄN</t>
        </is>
      </c>
      <c r="G370" t="inlineStr">
        <is>
          <t>TORSÅS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12954-2023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45001</v>
      </c>
      <c r="E371" s="1" t="n">
        <v>46222</v>
      </c>
      <c r="F371" t="inlineStr">
        <is>
          <t>KALMAR LÄN</t>
        </is>
      </c>
      <c r="G371" t="inlineStr">
        <is>
          <t>TORSÅS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59284-2021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44490</v>
      </c>
      <c r="E372" s="1" t="n">
        <v>46222</v>
      </c>
      <c r="F372" t="inlineStr">
        <is>
          <t>KALMAR LÄN</t>
        </is>
      </c>
      <c r="G372" t="inlineStr">
        <is>
          <t>TORSÅS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10926-2024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45370</v>
      </c>
      <c r="E373" s="1" t="n">
        <v>46222</v>
      </c>
      <c r="F373" t="inlineStr">
        <is>
          <t>KALMAR LÄN</t>
        </is>
      </c>
      <c r="G373" t="inlineStr">
        <is>
          <t>TORSÅS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16411-2026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46111</v>
      </c>
      <c r="E374" s="1" t="n">
        <v>46222</v>
      </c>
      <c r="F374" t="inlineStr">
        <is>
          <t>KALMAR LÄN</t>
        </is>
      </c>
      <c r="G374" t="inlineStr">
        <is>
          <t>TORSÅS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24661-2025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45798</v>
      </c>
      <c r="E375" s="1" t="n">
        <v>46222</v>
      </c>
      <c r="F375" t="inlineStr">
        <is>
          <t>KALMAR LÄN</t>
        </is>
      </c>
      <c r="G375" t="inlineStr">
        <is>
          <t>TORSÅS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52252-2023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45224</v>
      </c>
      <c r="E376" s="1" t="n">
        <v>46222</v>
      </c>
      <c r="F376" t="inlineStr">
        <is>
          <t>KALMAR LÄN</t>
        </is>
      </c>
      <c r="G376" t="inlineStr">
        <is>
          <t>TORSÅS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3396-2023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44949</v>
      </c>
      <c r="E377" s="1" t="n">
        <v>46222</v>
      </c>
      <c r="F377" t="inlineStr">
        <is>
          <t>KALMAR LÄN</t>
        </is>
      </c>
      <c r="G377" t="inlineStr">
        <is>
          <t>TORSÅS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56317-2024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45624</v>
      </c>
      <c r="E378" s="1" t="n">
        <v>46222</v>
      </c>
      <c r="F378" t="inlineStr">
        <is>
          <t>KALMAR LÄN</t>
        </is>
      </c>
      <c r="G378" t="inlineStr">
        <is>
          <t>TORSÅS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34432-2023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45139</v>
      </c>
      <c r="E379" s="1" t="n">
        <v>46222</v>
      </c>
      <c r="F379" t="inlineStr">
        <is>
          <t>KALMAR LÄN</t>
        </is>
      </c>
      <c r="G379" t="inlineStr">
        <is>
          <t>TORSÅS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24309-2026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46169</v>
      </c>
      <c r="E380" s="1" t="n">
        <v>46222</v>
      </c>
      <c r="F380" t="inlineStr">
        <is>
          <t>KALMAR LÄN</t>
        </is>
      </c>
      <c r="G380" t="inlineStr">
        <is>
          <t>TORSÅS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24308-2026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46169</v>
      </c>
      <c r="E381" s="1" t="n">
        <v>46222</v>
      </c>
      <c r="F381" t="inlineStr">
        <is>
          <t>KALMAR LÄN</t>
        </is>
      </c>
      <c r="G381" t="inlineStr">
        <is>
          <t>TORSÅS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20714-2023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45058</v>
      </c>
      <c r="E382" s="1" t="n">
        <v>46222</v>
      </c>
      <c r="F382" t="inlineStr">
        <is>
          <t>KALMAR LÄN</t>
        </is>
      </c>
      <c r="G382" t="inlineStr">
        <is>
          <t>TORSÅS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2150-2024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45309</v>
      </c>
      <c r="E383" s="1" t="n">
        <v>46222</v>
      </c>
      <c r="F383" t="inlineStr">
        <is>
          <t>KALMAR LÄN</t>
        </is>
      </c>
      <c r="G383" t="inlineStr">
        <is>
          <t>TORSÅS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54741-2022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44883</v>
      </c>
      <c r="E384" s="1" t="n">
        <v>46222</v>
      </c>
      <c r="F384" t="inlineStr">
        <is>
          <t>KALMAR LÄN</t>
        </is>
      </c>
      <c r="G384" t="inlineStr">
        <is>
          <t>TORSÅS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9810-2025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45716</v>
      </c>
      <c r="E385" s="1" t="n">
        <v>46222</v>
      </c>
      <c r="F385" t="inlineStr">
        <is>
          <t>KALMAR LÄN</t>
        </is>
      </c>
      <c r="G385" t="inlineStr">
        <is>
          <t>TORSÅS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65157-2023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45288</v>
      </c>
      <c r="E386" s="1" t="n">
        <v>46222</v>
      </c>
      <c r="F386" t="inlineStr">
        <is>
          <t>KALMAR LÄN</t>
        </is>
      </c>
      <c r="G386" t="inlineStr">
        <is>
          <t>TORSÅS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9757-2023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44984</v>
      </c>
      <c r="E387" s="1" t="n">
        <v>46222</v>
      </c>
      <c r="F387" t="inlineStr">
        <is>
          <t>KALMAR LÄN</t>
        </is>
      </c>
      <c r="G387" t="inlineStr">
        <is>
          <t>TORSÅS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59129-2025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45988</v>
      </c>
      <c r="E388" s="1" t="n">
        <v>46222</v>
      </c>
      <c r="F388" t="inlineStr">
        <is>
          <t>KALMAR LÄN</t>
        </is>
      </c>
      <c r="G388" t="inlineStr">
        <is>
          <t>TORSÅS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24509-2026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46170</v>
      </c>
      <c r="E389" s="1" t="n">
        <v>46222</v>
      </c>
      <c r="F389" t="inlineStr">
        <is>
          <t>KALMAR LÄN</t>
        </is>
      </c>
      <c r="G389" t="inlineStr">
        <is>
          <t>TORSÅS</t>
        </is>
      </c>
      <c r="I389" t="n">
        <v>6.5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5958-2025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45695</v>
      </c>
      <c r="E390" s="1" t="n">
        <v>46222</v>
      </c>
      <c r="F390" t="inlineStr">
        <is>
          <t>KALMAR LÄN</t>
        </is>
      </c>
      <c r="G390" t="inlineStr">
        <is>
          <t>TORSÅS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56701-2025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45977</v>
      </c>
      <c r="E391" s="1" t="n">
        <v>46222</v>
      </c>
      <c r="F391" t="inlineStr">
        <is>
          <t>KALMAR LÄN</t>
        </is>
      </c>
      <c r="G391" t="inlineStr">
        <is>
          <t>TORSÅS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42897-2023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45182</v>
      </c>
      <c r="E392" s="1" t="n">
        <v>46222</v>
      </c>
      <c r="F392" t="inlineStr">
        <is>
          <t>KALMAR LÄN</t>
        </is>
      </c>
      <c r="G392" t="inlineStr">
        <is>
          <t>TORSÅS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31228-2026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46217</v>
      </c>
      <c r="E393" s="1" t="n">
        <v>46222</v>
      </c>
      <c r="F393" t="inlineStr">
        <is>
          <t>KALMAR LÄN</t>
        </is>
      </c>
      <c r="G393" t="inlineStr">
        <is>
          <t>TORSÅS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25075-2026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46174</v>
      </c>
      <c r="E394" s="1" t="n">
        <v>46222</v>
      </c>
      <c r="F394" t="inlineStr">
        <is>
          <t>KALMAR LÄN</t>
        </is>
      </c>
      <c r="G394" t="inlineStr">
        <is>
          <t>TORSÅS</t>
        </is>
      </c>
      <c r="I394" t="n">
        <v>8.4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25072-2026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46174</v>
      </c>
      <c r="E395" s="1" t="n">
        <v>46222</v>
      </c>
      <c r="F395" t="inlineStr">
        <is>
          <t>KALMAR LÄN</t>
        </is>
      </c>
      <c r="G395" t="inlineStr">
        <is>
          <t>TORSÅS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31255-2026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46218</v>
      </c>
      <c r="E396" s="1" t="n">
        <v>46222</v>
      </c>
      <c r="F396" t="inlineStr">
        <is>
          <t>KALMAR LÄN</t>
        </is>
      </c>
      <c r="G396" t="inlineStr">
        <is>
          <t>TORSÅS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31256-2026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46218</v>
      </c>
      <c r="E397" s="1" t="n">
        <v>46222</v>
      </c>
      <c r="F397" t="inlineStr">
        <is>
          <t>KALMAR LÄN</t>
        </is>
      </c>
      <c r="G397" t="inlineStr">
        <is>
          <t>TORSÅS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52072-2023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45223</v>
      </c>
      <c r="E398" s="1" t="n">
        <v>46222</v>
      </c>
      <c r="F398" t="inlineStr">
        <is>
          <t>KALMAR LÄN</t>
        </is>
      </c>
      <c r="G398" t="inlineStr">
        <is>
          <t>TORSÅS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25070-2026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46222</v>
      </c>
      <c r="F399" t="inlineStr">
        <is>
          <t>KALMAR LÄN</t>
        </is>
      </c>
      <c r="G399" t="inlineStr">
        <is>
          <t>TORSÅS</t>
        </is>
      </c>
      <c r="I399" t="n">
        <v>6.6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4729-2024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45328</v>
      </c>
      <c r="E400" s="1" t="n">
        <v>46222</v>
      </c>
      <c r="F400" t="inlineStr">
        <is>
          <t>KALMAR LÄN</t>
        </is>
      </c>
      <c r="G400" t="inlineStr">
        <is>
          <t>TORSÅS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42912-2023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45182</v>
      </c>
      <c r="E401" s="1" t="n">
        <v>46222</v>
      </c>
      <c r="F401" t="inlineStr">
        <is>
          <t>KALMAR LÄN</t>
        </is>
      </c>
      <c r="G401" t="inlineStr">
        <is>
          <t>TORSÅS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16446-2022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44671</v>
      </c>
      <c r="E402" s="1" t="n">
        <v>46222</v>
      </c>
      <c r="F402" t="inlineStr">
        <is>
          <t>KALMAR LÄN</t>
        </is>
      </c>
      <c r="G402" t="inlineStr">
        <is>
          <t>TORSÅS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17815-2023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45036</v>
      </c>
      <c r="E403" s="1" t="n">
        <v>46222</v>
      </c>
      <c r="F403" t="inlineStr">
        <is>
          <t>KALMAR LÄN</t>
        </is>
      </c>
      <c r="G403" t="inlineStr">
        <is>
          <t>TORSÅS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23963-2026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46167</v>
      </c>
      <c r="E404" s="1" t="n">
        <v>46222</v>
      </c>
      <c r="F404" t="inlineStr">
        <is>
          <t>KALMAR LÄN</t>
        </is>
      </c>
      <c r="G404" t="inlineStr">
        <is>
          <t>TORSÅS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23974-2026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46167</v>
      </c>
      <c r="E405" s="1" t="n">
        <v>46222</v>
      </c>
      <c r="F405" t="inlineStr">
        <is>
          <t>KALMAR LÄN</t>
        </is>
      </c>
      <c r="G405" t="inlineStr">
        <is>
          <t>TORSÅS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14362-2023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45012</v>
      </c>
      <c r="E406" s="1" t="n">
        <v>46222</v>
      </c>
      <c r="F406" t="inlineStr">
        <is>
          <t>KALMAR LÄN</t>
        </is>
      </c>
      <c r="G406" t="inlineStr">
        <is>
          <t>TORSÅS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3376-2023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44949</v>
      </c>
      <c r="E407" s="1" t="n">
        <v>46222</v>
      </c>
      <c r="F407" t="inlineStr">
        <is>
          <t>KALMAR LÄN</t>
        </is>
      </c>
      <c r="G407" t="inlineStr">
        <is>
          <t>TORSÅS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22564-2024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45447</v>
      </c>
      <c r="E408" s="1" t="n">
        <v>46222</v>
      </c>
      <c r="F408" t="inlineStr">
        <is>
          <t>KALMAR LÄN</t>
        </is>
      </c>
      <c r="G408" t="inlineStr">
        <is>
          <t>TORSÅS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33144-2024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45518</v>
      </c>
      <c r="E409" s="1" t="n">
        <v>46222</v>
      </c>
      <c r="F409" t="inlineStr">
        <is>
          <t>KALMAR LÄN</t>
        </is>
      </c>
      <c r="G409" t="inlineStr">
        <is>
          <t>TORSÅS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13588-2025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45736</v>
      </c>
      <c r="E410" s="1" t="n">
        <v>46222</v>
      </c>
      <c r="F410" t="inlineStr">
        <is>
          <t>KALMAR LÄN</t>
        </is>
      </c>
      <c r="G410" t="inlineStr">
        <is>
          <t>TORSÅS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51647-2023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45222</v>
      </c>
      <c r="E411" s="1" t="n">
        <v>46222</v>
      </c>
      <c r="F411" t="inlineStr">
        <is>
          <t>KALMAR LÄN</t>
        </is>
      </c>
      <c r="G411" t="inlineStr">
        <is>
          <t>TORSÅS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16263-2024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45407</v>
      </c>
      <c r="E412" s="1" t="n">
        <v>46222</v>
      </c>
      <c r="F412" t="inlineStr">
        <is>
          <t>KALMAR LÄN</t>
        </is>
      </c>
      <c r="G412" t="inlineStr">
        <is>
          <t>TORSÅS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48526-2023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45208</v>
      </c>
      <c r="E413" s="1" t="n">
        <v>46222</v>
      </c>
      <c r="F413" t="inlineStr">
        <is>
          <t>KALMAR LÄN</t>
        </is>
      </c>
      <c r="G413" t="inlineStr">
        <is>
          <t>TORSÅS</t>
        </is>
      </c>
      <c r="I413" t="n">
        <v>5.7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56613-2023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45243</v>
      </c>
      <c r="E414" s="1" t="n">
        <v>46222</v>
      </c>
      <c r="F414" t="inlineStr">
        <is>
          <t>KALMAR LÄN</t>
        </is>
      </c>
      <c r="G414" t="inlineStr">
        <is>
          <t>TORSÅS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12956-2023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45001</v>
      </c>
      <c r="E415" s="1" t="n">
        <v>46222</v>
      </c>
      <c r="F415" t="inlineStr">
        <is>
          <t>KALMAR LÄN</t>
        </is>
      </c>
      <c r="G415" t="inlineStr">
        <is>
          <t>TORSÅS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12957-2023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45001</v>
      </c>
      <c r="E416" s="1" t="n">
        <v>46222</v>
      </c>
      <c r="F416" t="inlineStr">
        <is>
          <t>KALMAR LÄN</t>
        </is>
      </c>
      <c r="G416" t="inlineStr">
        <is>
          <t>TORSÅS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2285-2023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44942</v>
      </c>
      <c r="E417" s="1" t="n">
        <v>46222</v>
      </c>
      <c r="F417" t="inlineStr">
        <is>
          <t>KALMAR LÄN</t>
        </is>
      </c>
      <c r="G417" t="inlineStr">
        <is>
          <t>TORSÅS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27268-2023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45096</v>
      </c>
      <c r="E418" s="1" t="n">
        <v>46222</v>
      </c>
      <c r="F418" t="inlineStr">
        <is>
          <t>KALMAR LÄN</t>
        </is>
      </c>
      <c r="G418" t="inlineStr">
        <is>
          <t>TORSÅS</t>
        </is>
      </c>
      <c r="I418" t="n">
        <v>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19943-2023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45054</v>
      </c>
      <c r="E419" s="1" t="n">
        <v>46222</v>
      </c>
      <c r="F419" t="inlineStr">
        <is>
          <t>KALMAR LÄN</t>
        </is>
      </c>
      <c r="G419" t="inlineStr">
        <is>
          <t>TORSÅS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61260-2024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45645</v>
      </c>
      <c r="E420" s="1" t="n">
        <v>46222</v>
      </c>
      <c r="F420" t="inlineStr">
        <is>
          <t>KALMAR LÄN</t>
        </is>
      </c>
      <c r="G420" t="inlineStr">
        <is>
          <t>TORSÅS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19648-2025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45770</v>
      </c>
      <c r="E421" s="1" t="n">
        <v>46222</v>
      </c>
      <c r="F421" t="inlineStr">
        <is>
          <t>KALMAR LÄN</t>
        </is>
      </c>
      <c r="G421" t="inlineStr">
        <is>
          <t>TORSÅS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15749-2024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45404</v>
      </c>
      <c r="E422" s="1" t="n">
        <v>46222</v>
      </c>
      <c r="F422" t="inlineStr">
        <is>
          <t>KALMAR LÄN</t>
        </is>
      </c>
      <c r="G422" t="inlineStr">
        <is>
          <t>TORSÅS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16498-2024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45408</v>
      </c>
      <c r="E423" s="1" t="n">
        <v>46222</v>
      </c>
      <c r="F423" t="inlineStr">
        <is>
          <t>KALMAR LÄN</t>
        </is>
      </c>
      <c r="G423" t="inlineStr">
        <is>
          <t>TORSÅS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46626-2024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45583</v>
      </c>
      <c r="E424" s="1" t="n">
        <v>46222</v>
      </c>
      <c r="F424" t="inlineStr">
        <is>
          <t>KALMAR LÄN</t>
        </is>
      </c>
      <c r="G424" t="inlineStr">
        <is>
          <t>TORSÅS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5771-2025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45694</v>
      </c>
      <c r="E425" s="1" t="n">
        <v>46222</v>
      </c>
      <c r="F425" t="inlineStr">
        <is>
          <t>KALMAR LÄN</t>
        </is>
      </c>
      <c r="G425" t="inlineStr">
        <is>
          <t>TORSÅS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27507-2024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45474</v>
      </c>
      <c r="E426" s="1" t="n">
        <v>46222</v>
      </c>
      <c r="F426" t="inlineStr">
        <is>
          <t>KALMAR LÄN</t>
        </is>
      </c>
      <c r="G426" t="inlineStr">
        <is>
          <t>TORSÅS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9124-2025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45713</v>
      </c>
      <c r="E427" s="1" t="n">
        <v>46222</v>
      </c>
      <c r="F427" t="inlineStr">
        <is>
          <t>KALMAR LÄN</t>
        </is>
      </c>
      <c r="G427" t="inlineStr">
        <is>
          <t>TORSÅS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532-2024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45299</v>
      </c>
      <c r="E428" s="1" t="n">
        <v>46222</v>
      </c>
      <c r="F428" t="inlineStr">
        <is>
          <t>KALMAR LÄN</t>
        </is>
      </c>
      <c r="G428" t="inlineStr">
        <is>
          <t>TORSÅS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10260-2023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44986</v>
      </c>
      <c r="E429" s="1" t="n">
        <v>46222</v>
      </c>
      <c r="F429" t="inlineStr">
        <is>
          <t>KALMAR LÄN</t>
        </is>
      </c>
      <c r="G429" t="inlineStr">
        <is>
          <t>TORSÅS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784-2025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45665</v>
      </c>
      <c r="E430" s="1" t="n">
        <v>46222</v>
      </c>
      <c r="F430" t="inlineStr">
        <is>
          <t>KALMAR LÄN</t>
        </is>
      </c>
      <c r="G430" t="inlineStr">
        <is>
          <t>TORSÅS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27504-2024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45474</v>
      </c>
      <c r="E431" s="1" t="n">
        <v>46222</v>
      </c>
      <c r="F431" t="inlineStr">
        <is>
          <t>KALMAR LÄN</t>
        </is>
      </c>
      <c r="G431" t="inlineStr">
        <is>
          <t>TORSÅS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14366-2023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45012</v>
      </c>
      <c r="E432" s="1" t="n">
        <v>46222</v>
      </c>
      <c r="F432" t="inlineStr">
        <is>
          <t>KALMAR LÄN</t>
        </is>
      </c>
      <c r="G432" t="inlineStr">
        <is>
          <t>TORSÅS</t>
        </is>
      </c>
      <c r="I432" t="n">
        <v>7.3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22232-2025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45785</v>
      </c>
      <c r="E433" s="1" t="n">
        <v>46222</v>
      </c>
      <c r="F433" t="inlineStr">
        <is>
          <t>KALMAR LÄN</t>
        </is>
      </c>
      <c r="G433" t="inlineStr">
        <is>
          <t>TORSÅS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61105-2024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45645</v>
      </c>
      <c r="E434" s="1" t="n">
        <v>46222</v>
      </c>
      <c r="F434" t="inlineStr">
        <is>
          <t>KALMAR LÄN</t>
        </is>
      </c>
      <c r="G434" t="inlineStr">
        <is>
          <t>TORSÅS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17523-2022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44679</v>
      </c>
      <c r="E435" s="1" t="n">
        <v>46222</v>
      </c>
      <c r="F435" t="inlineStr">
        <is>
          <t>KALMAR LÄN</t>
        </is>
      </c>
      <c r="G435" t="inlineStr">
        <is>
          <t>TORSÅS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5107-2024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45330</v>
      </c>
      <c r="E436" s="1" t="n">
        <v>46222</v>
      </c>
      <c r="F436" t="inlineStr">
        <is>
          <t>KALMAR LÄN</t>
        </is>
      </c>
      <c r="G436" t="inlineStr">
        <is>
          <t>TORSÅS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34956-2024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45527</v>
      </c>
      <c r="E437" s="1" t="n">
        <v>46222</v>
      </c>
      <c r="F437" t="inlineStr">
        <is>
          <t>KALMAR LÄN</t>
        </is>
      </c>
      <c r="G437" t="inlineStr">
        <is>
          <t>TORSÅS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786-2025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45665</v>
      </c>
      <c r="E438" s="1" t="n">
        <v>46222</v>
      </c>
      <c r="F438" t="inlineStr">
        <is>
          <t>KALMAR LÄN</t>
        </is>
      </c>
      <c r="G438" t="inlineStr">
        <is>
          <t>TORSÅS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24666-2025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45798</v>
      </c>
      <c r="E439" s="1" t="n">
        <v>46222</v>
      </c>
      <c r="F439" t="inlineStr">
        <is>
          <t>KALMAR LÄN</t>
        </is>
      </c>
      <c r="G439" t="inlineStr">
        <is>
          <t>TORSÅS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54716-2024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45618</v>
      </c>
      <c r="E440" s="1" t="n">
        <v>46222</v>
      </c>
      <c r="F440" t="inlineStr">
        <is>
          <t>KALMAR LÄN</t>
        </is>
      </c>
      <c r="G440" t="inlineStr">
        <is>
          <t>TORSÅS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39306-2024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45551</v>
      </c>
      <c r="E441" s="1" t="n">
        <v>46222</v>
      </c>
      <c r="F441" t="inlineStr">
        <is>
          <t>KALMAR LÄN</t>
        </is>
      </c>
      <c r="G441" t="inlineStr">
        <is>
          <t>TORSÅS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29933-2024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45488</v>
      </c>
      <c r="E442" s="1" t="n">
        <v>46222</v>
      </c>
      <c r="F442" t="inlineStr">
        <is>
          <t>KALMAR LÄN</t>
        </is>
      </c>
      <c r="G442" t="inlineStr">
        <is>
          <t>TORSÅS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S 1824-2022</t>
        </is>
      </c>
      <c r="B443" t="inlineStr">
        <is>
          <t>samrådsanmälan</t>
        </is>
      </c>
      <c r="C443" t="inlineStr">
        <is>
          <t>Skogsbilväg</t>
        </is>
      </c>
      <c r="D443" s="1" t="n">
        <v>44658</v>
      </c>
      <c r="E443" s="1" t="n">
        <v>46222</v>
      </c>
      <c r="F443" t="inlineStr">
        <is>
          <t>KALMAR LÄN</t>
        </is>
      </c>
      <c r="G443" t="inlineStr">
        <is>
          <t>TORSÅS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S 3937-2023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45235</v>
      </c>
      <c r="E444" s="1" t="n">
        <v>46222</v>
      </c>
      <c r="F444" t="inlineStr">
        <is>
          <t>KALMAR LÄN</t>
        </is>
      </c>
      <c r="G444" t="inlineStr">
        <is>
          <t>TORSÅS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S 221-2024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45316</v>
      </c>
      <c r="E445" s="1" t="n">
        <v>46222</v>
      </c>
      <c r="F445" t="inlineStr">
        <is>
          <t>KALMAR LÄN</t>
        </is>
      </c>
      <c r="G445" t="inlineStr">
        <is>
          <t>TORSÅS</t>
        </is>
      </c>
      <c r="I445" t="n">
        <v>17.6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S 3287-2024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45527</v>
      </c>
      <c r="E446" s="1" t="n">
        <v>46222</v>
      </c>
      <c r="F446" t="inlineStr">
        <is>
          <t>KALMAR LÄN</t>
        </is>
      </c>
      <c r="G446" t="inlineStr">
        <is>
          <t>TORSÅS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S 1844-2024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45440</v>
      </c>
      <c r="E447" s="1" t="n">
        <v>46222</v>
      </c>
      <c r="F447" t="inlineStr">
        <is>
          <t>KALMAR LÄN</t>
        </is>
      </c>
      <c r="G447" t="inlineStr">
        <is>
          <t>TORSÅS</t>
        </is>
      </c>
      <c r="I447" t="n">
        <v>15.7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S 2489-2024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45471</v>
      </c>
      <c r="E448" s="1" t="n">
        <v>46222</v>
      </c>
      <c r="F448" t="inlineStr">
        <is>
          <t>KALMAR LÄN</t>
        </is>
      </c>
      <c r="G448" t="inlineStr">
        <is>
          <t>TORSÅS</t>
        </is>
      </c>
      <c r="I448" t="n">
        <v>18.2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S 1842-2024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46222</v>
      </c>
      <c r="F449" t="inlineStr">
        <is>
          <t>KALMAR LÄN</t>
        </is>
      </c>
      <c r="G449" t="inlineStr">
        <is>
          <t>TORSÅS</t>
        </is>
      </c>
      <c r="I449" t="n">
        <v>12.8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S 1843-2024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45440</v>
      </c>
      <c r="E450" s="1" t="n">
        <v>46222</v>
      </c>
      <c r="F450" t="inlineStr">
        <is>
          <t>KALMAR LÄN</t>
        </is>
      </c>
      <c r="G450" t="inlineStr">
        <is>
          <t>TORSÅS</t>
        </is>
      </c>
      <c r="I450" t="n">
        <v>11.6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S 4968-2021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44419</v>
      </c>
      <c r="E451" s="1" t="n">
        <v>46222</v>
      </c>
      <c r="F451" t="inlineStr">
        <is>
          <t>KALMAR LÄN</t>
        </is>
      </c>
      <c r="G451" t="inlineStr">
        <is>
          <t>TORSÅS</t>
        </is>
      </c>
      <c r="I451" t="n">
        <v>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S 3767-2024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45558</v>
      </c>
      <c r="E452" s="1" t="n">
        <v>46222</v>
      </c>
      <c r="F452" t="inlineStr">
        <is>
          <t>KALMAR LÄN</t>
        </is>
      </c>
      <c r="G452" t="inlineStr">
        <is>
          <t>TORSÅS</t>
        </is>
      </c>
      <c r="I452" t="n">
        <v>19.8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866-2024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45373</v>
      </c>
      <c r="E453" s="1" t="n">
        <v>46222</v>
      </c>
      <c r="F453" t="inlineStr">
        <is>
          <t>KALMAR LÄN</t>
        </is>
      </c>
      <c r="G453" t="inlineStr">
        <is>
          <t>TORSÅS</t>
        </is>
      </c>
      <c r="I453" t="n">
        <v>16.6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7089-2021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44462</v>
      </c>
      <c r="E454" s="1" t="n">
        <v>46222</v>
      </c>
      <c r="F454" t="inlineStr">
        <is>
          <t>KALMAR LÄN</t>
        </is>
      </c>
      <c r="G454" t="inlineStr">
        <is>
          <t>TORSÅS</t>
        </is>
      </c>
      <c r="I454" t="n">
        <v>11.9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367-2024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46222</v>
      </c>
      <c r="F455" t="inlineStr">
        <is>
          <t>KALMAR LÄN</t>
        </is>
      </c>
      <c r="G455" t="inlineStr">
        <is>
          <t>TORSÅS</t>
        </is>
      </c>
      <c r="I455" t="n">
        <v>33.3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871-2024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45373</v>
      </c>
      <c r="E456" s="1" t="n">
        <v>46222</v>
      </c>
      <c r="F456" t="inlineStr">
        <is>
          <t>KALMAR LÄN</t>
        </is>
      </c>
      <c r="G456" t="inlineStr">
        <is>
          <t>TORSÅS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1059-2024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45387</v>
      </c>
      <c r="E457" s="1" t="n">
        <v>46222</v>
      </c>
      <c r="F457" t="inlineStr">
        <is>
          <t>KALMAR LÄN</t>
        </is>
      </c>
      <c r="G457" t="inlineStr">
        <is>
          <t>TORSÅS</t>
        </is>
      </c>
      <c r="I457" t="n">
        <v>11.9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867-2024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45373</v>
      </c>
      <c r="E458" s="1" t="n">
        <v>46222</v>
      </c>
      <c r="F458" t="inlineStr">
        <is>
          <t>KALMAR LÄN</t>
        </is>
      </c>
      <c r="G458" t="inlineStr">
        <is>
          <t>TORSÅS</t>
        </is>
      </c>
      <c r="I458" t="n">
        <v>19.2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1846-2024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45440</v>
      </c>
      <c r="E459" s="1" t="n">
        <v>46222</v>
      </c>
      <c r="F459" t="inlineStr">
        <is>
          <t>KALMAR LÄN</t>
        </is>
      </c>
      <c r="G459" t="inlineStr">
        <is>
          <t>TORSÅS</t>
        </is>
      </c>
      <c r="I459" t="n">
        <v>35.5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297-2025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45687</v>
      </c>
      <c r="E460" s="1" t="n">
        <v>46222</v>
      </c>
      <c r="F460" t="inlineStr">
        <is>
          <t>KALMAR LÄN</t>
        </is>
      </c>
      <c r="G460" t="inlineStr">
        <is>
          <t>TORSÅS</t>
        </is>
      </c>
      <c r="I460" t="n">
        <v>31.5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1848-2024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45440</v>
      </c>
      <c r="E461" s="1" t="n">
        <v>46222</v>
      </c>
      <c r="F461" t="inlineStr">
        <is>
          <t>KALMAR LÄN</t>
        </is>
      </c>
      <c r="G461" t="inlineStr">
        <is>
          <t>TORSÅS</t>
        </is>
      </c>
      <c r="I461" t="n">
        <v>12.8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56-2023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44928</v>
      </c>
      <c r="E462" s="1" t="n">
        <v>46222</v>
      </c>
      <c r="F462" t="inlineStr">
        <is>
          <t>KALMAR LÄN</t>
        </is>
      </c>
      <c r="G462" t="inlineStr">
        <is>
          <t>TORSÅS</t>
        </is>
      </c>
      <c r="I462" t="n">
        <v>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598-2023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44971</v>
      </c>
      <c r="E463" s="1" t="n">
        <v>46222</v>
      </c>
      <c r="F463" t="inlineStr">
        <is>
          <t>KALMAR LÄN</t>
        </is>
      </c>
      <c r="G463" t="inlineStr">
        <is>
          <t>TORSÅS</t>
        </is>
      </c>
      <c r="I463" t="n">
        <v>7.3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1847-2024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45440</v>
      </c>
      <c r="E464" s="1" t="n">
        <v>46222</v>
      </c>
      <c r="F464" t="inlineStr">
        <is>
          <t>KALMAR LÄN</t>
        </is>
      </c>
      <c r="G464" t="inlineStr">
        <is>
          <t>TORSÅS</t>
        </is>
      </c>
      <c r="I464" t="n">
        <v>10.5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1526-2025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45791</v>
      </c>
      <c r="E465" s="1" t="n">
        <v>46222</v>
      </c>
      <c r="F465" t="inlineStr">
        <is>
          <t>KALMAR LÄN</t>
        </is>
      </c>
      <c r="G465" t="inlineStr">
        <is>
          <t>TORSÅS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1524-2025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45791</v>
      </c>
      <c r="E466" s="1" t="n">
        <v>46222</v>
      </c>
      <c r="F466" t="inlineStr">
        <is>
          <t>KALMAR LÄN</t>
        </is>
      </c>
      <c r="G466" t="inlineStr">
        <is>
          <t>TORSÅS</t>
        </is>
      </c>
      <c r="I466" t="n">
        <v>7.7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>
      <c r="A467" t="inlineStr">
        <is>
          <t>S 1525-2025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45791</v>
      </c>
      <c r="E467" s="1" t="n">
        <v>46222</v>
      </c>
      <c r="F467" t="inlineStr">
        <is>
          <t>KALMAR LÄN</t>
        </is>
      </c>
      <c r="G467" t="inlineStr">
        <is>
          <t>TORSÅS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2026-07-19T01:36:18Z</dcterms:created>
  <dcterms:modified xmlns:dcterms="http://purl.org/dc/terms/" xmlns:xsi="http://www.w3.org/2001/XMLSchema-instance" xsi:type="dcterms:W3CDTF">2026-07-19T01:36:18Z</dcterms:modified>
</cp:coreProperties>
</file>