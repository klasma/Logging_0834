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46221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s="2" t="inlineStr">
        <is>
          <t>Korskovall
Krusfrö
Vippärt
Blåsippa</t>
        </is>
      </c>
      <c r="V5">
        <f>HYPERLINK("https://klasma.github.io/Logging_0834/artfynd/A 28946-2025 artfynd.xlsx", "A 28946-2025")</f>
        <v/>
      </c>
      <c r="W5">
        <f>HYPERLINK("https://klasma.github.io/Logging_0834/kartor/A 28946-2025 karta.png", "A 28946-2025")</f>
        <v/>
      </c>
      <c r="Y5">
        <f>HYPERLINK("https://klasma.github.io/Logging_0834/klagomål/A 28946-2025 FSC-klagomål.docx", "A 28946-2025")</f>
        <v/>
      </c>
      <c r="Z5">
        <f>HYPERLINK("https://klasma.github.io/Logging_0834/klagomålsmail/A 28946-2025 FSC-klagomål mail.docx", "A 28946-2025")</f>
        <v/>
      </c>
      <c r="AA5">
        <f>HYPERLINK("https://klasma.github.io/Logging_0834/tillsyn/A 28946-2025 tillsynsbegäran.docx", "A 28946-2025")</f>
        <v/>
      </c>
      <c r="AB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46221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Sydpipistrell
Nordfladdermus
Dvärgpipistrell
Större brunfladdermus</t>
        </is>
      </c>
      <c r="V6">
        <f>HYPERLINK("https://klasma.github.io/Logging_0834/artfynd/A 24660-2025 artfynd.xlsx", "A 24660-2025")</f>
        <v/>
      </c>
      <c r="W6">
        <f>HYPERLINK("https://klasma.github.io/Logging_0834/kartor/A 24660-2025 karta.png", "A 24660-2025")</f>
        <v/>
      </c>
      <c r="Y6">
        <f>HYPERLINK("https://klasma.github.io/Logging_0834/klagomål/A 24660-2025 FSC-klagomål.docx", "A 24660-2025")</f>
        <v/>
      </c>
      <c r="Z6">
        <f>HYPERLINK("https://klasma.github.io/Logging_0834/klagomålsmail/A 24660-2025 FSC-klagomål mail.docx", "A 24660-2025")</f>
        <v/>
      </c>
      <c r="AA6">
        <f>HYPERLINK("https://klasma.github.io/Logging_0834/tillsyn/A 24660-2025 tillsynsbegäran.docx", "A 24660-2025")</f>
        <v/>
      </c>
      <c r="AB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46221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46221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s="2" t="inlineStr">
        <is>
          <t>Almlav
Korndådra
Gulvit blekspik</t>
        </is>
      </c>
      <c r="V9">
        <f>HYPERLINK("https://klasma.github.io/Logging_0834/artfynd/A 8304-2024 artfynd.xlsx", "A 8304-2024")</f>
        <v/>
      </c>
      <c r="W9">
        <f>HYPERLINK("https://klasma.github.io/Logging_0834/kartor/A 8304-2024 karta.png", "A 8304-2024")</f>
        <v/>
      </c>
      <c r="Y9">
        <f>HYPERLINK("https://klasma.github.io/Logging_0834/klagomål/A 8304-2024 FSC-klagomål.docx", "A 8304-2024")</f>
        <v/>
      </c>
      <c r="Z9">
        <f>HYPERLINK("https://klasma.github.io/Logging_0834/klagomålsmail/A 8304-2024 FSC-klagomål mail.docx", "A 8304-2024")</f>
        <v/>
      </c>
      <c r="AA9">
        <f>HYPERLINK("https://klasma.github.io/Logging_0834/tillsyn/A 8304-2024 tillsynsbegäran.docx", "A 8304-2024")</f>
        <v/>
      </c>
      <c r="AB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46221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Bokvårtlav
Blomkålssvamp
Stubbspretmossa</t>
        </is>
      </c>
      <c r="V10">
        <f>HYPERLINK("https://klasma.github.io/Logging_0834/artfynd/A 8427-2023 artfynd.xlsx", "A 8427-2023")</f>
        <v/>
      </c>
      <c r="W10">
        <f>HYPERLINK("https://klasma.github.io/Logging_0834/kartor/A 8427-2023 karta.png", "A 8427-2023")</f>
        <v/>
      </c>
      <c r="Y10">
        <f>HYPERLINK("https://klasma.github.io/Logging_0834/klagomål/A 8427-2023 FSC-klagomål.docx", "A 8427-2023")</f>
        <v/>
      </c>
      <c r="Z10">
        <f>HYPERLINK("https://klasma.github.io/Logging_0834/klagomålsmail/A 8427-2023 FSC-klagomål mail.docx", "A 8427-2023")</f>
        <v/>
      </c>
      <c r="AA10">
        <f>HYPERLINK("https://klasma.github.io/Logging_0834/tillsyn/A 8427-2023 tillsynsbegäran.docx", "A 8427-2023")</f>
        <v/>
      </c>
      <c r="AB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46221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Nordfladdermus
Dvärgpipistrell
Större brunfladdermus</t>
        </is>
      </c>
      <c r="V11">
        <f>HYPERLINK("https://klasma.github.io/Logging_0834/artfynd/A 24159-2022 artfynd.xlsx", "A 24159-2022")</f>
        <v/>
      </c>
      <c r="W11">
        <f>HYPERLINK("https://klasma.github.io/Logging_0834/kartor/A 24159-2022 karta.png", "A 24159-2022")</f>
        <v/>
      </c>
      <c r="Y11">
        <f>HYPERLINK("https://klasma.github.io/Logging_0834/klagomål/A 24159-2022 FSC-klagomål.docx", "A 24159-2022")</f>
        <v/>
      </c>
      <c r="Z11">
        <f>HYPERLINK("https://klasma.github.io/Logging_0834/klagomålsmail/A 24159-2022 FSC-klagomål mail.docx", "A 24159-2022")</f>
        <v/>
      </c>
      <c r="AA11">
        <f>HYPERLINK("https://klasma.github.io/Logging_0834/tillsyn/A 24159-2022 tillsynsbegäran.docx", "A 24159-2022")</f>
        <v/>
      </c>
      <c r="AB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46221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Större brunfladdermus
Trollpipistrell</t>
        </is>
      </c>
      <c r="V12">
        <f>HYPERLINK("https://klasma.github.io/Logging_0834/artfynd/A 47385-2023 artfynd.xlsx", "A 47385-2023")</f>
        <v/>
      </c>
      <c r="W12">
        <f>HYPERLINK("https://klasma.github.io/Logging_0834/kartor/A 47385-2023 karta.png", "A 47385-2023")</f>
        <v/>
      </c>
      <c r="Y12">
        <f>HYPERLINK("https://klasma.github.io/Logging_0834/klagomål/A 47385-2023 FSC-klagomål.docx", "A 47385-2023")</f>
        <v/>
      </c>
      <c r="Z12">
        <f>HYPERLINK("https://klasma.github.io/Logging_0834/klagomålsmail/A 47385-2023 FSC-klagomål mail.docx", "A 47385-2023")</f>
        <v/>
      </c>
      <c r="AA12">
        <f>HYPERLINK("https://klasma.github.io/Logging_0834/tillsyn/A 47385-2023 tillsynsbegäran.docx", "A 47385-2023")</f>
        <v/>
      </c>
      <c r="AB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46221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46221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46221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46221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46221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46221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Nordfladdermus
Underviol</t>
        </is>
      </c>
      <c r="V18">
        <f>HYPERLINK("https://klasma.github.io/Logging_0834/artfynd/A 8311-2024 artfynd.xlsx", "A 8311-2024")</f>
        <v/>
      </c>
      <c r="W18">
        <f>HYPERLINK("https://klasma.github.io/Logging_0834/kartor/A 8311-2024 karta.png", "A 8311-2024")</f>
        <v/>
      </c>
      <c r="Y18">
        <f>HYPERLINK("https://klasma.github.io/Logging_0834/klagomål/A 8311-2024 FSC-klagomål.docx", "A 8311-2024")</f>
        <v/>
      </c>
      <c r="Z18">
        <f>HYPERLINK("https://klasma.github.io/Logging_0834/klagomålsmail/A 8311-2024 FSC-klagomål mail.docx", "A 8311-2024")</f>
        <v/>
      </c>
      <c r="AA18">
        <f>HYPERLINK("https://klasma.github.io/Logging_0834/tillsyn/A 8311-2024 tillsynsbegäran.docx", "A 8311-2024")</f>
        <v/>
      </c>
      <c r="AB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46221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Stare
Skogsödla</t>
        </is>
      </c>
      <c r="V19">
        <f>HYPERLINK("https://klasma.github.io/Logging_0834/artfynd/A 10603-2023 artfynd.xlsx", "A 10603-2023")</f>
        <v/>
      </c>
      <c r="W19">
        <f>HYPERLINK("https://klasma.github.io/Logging_0834/kartor/A 10603-2023 karta.png", "A 10603-2023")</f>
        <v/>
      </c>
      <c r="Y19">
        <f>HYPERLINK("https://klasma.github.io/Logging_0834/klagomål/A 10603-2023 FSC-klagomål.docx", "A 10603-2023")</f>
        <v/>
      </c>
      <c r="Z19">
        <f>HYPERLINK("https://klasma.github.io/Logging_0834/klagomålsmail/A 10603-2023 FSC-klagomål mail.docx", "A 10603-2023")</f>
        <v/>
      </c>
      <c r="AA19">
        <f>HYPERLINK("https://klasma.github.io/Logging_0834/tillsyn/A 10603-2023 tillsynsbegäran.docx", "A 10603-2023")</f>
        <v/>
      </c>
      <c r="AB19">
        <f>HYPERLINK("https://klasma.github.io/Logging_0834/tillsynsmail/A 10603-2023 tillsynsbegäran mail.docx", "A 10603-2023")</f>
        <v/>
      </c>
      <c r="AC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46221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46221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46221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46221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46221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46221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46221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46221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46221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Huggorm</t>
        </is>
      </c>
      <c r="V28">
        <f>HYPERLINK("https://klasma.github.io/Logging_0834/artfynd/A 44569-2025 artfynd.xlsx", "A 44569-2025")</f>
        <v/>
      </c>
      <c r="W28">
        <f>HYPERLINK("https://klasma.github.io/Logging_0834/kartor/A 44569-2025 karta.png", "A 44569-2025")</f>
        <v/>
      </c>
      <c r="Y28">
        <f>HYPERLINK("https://klasma.github.io/Logging_0834/klagomål/A 44569-2025 FSC-klagomål.docx", "A 44569-2025")</f>
        <v/>
      </c>
      <c r="Z28">
        <f>HYPERLINK("https://klasma.github.io/Logging_0834/klagomålsmail/A 44569-2025 FSC-klagomål mail.docx", "A 44569-2025")</f>
        <v/>
      </c>
      <c r="AA28">
        <f>HYPERLINK("https://klasma.github.io/Logging_0834/tillsyn/A 44569-2025 tillsynsbegäran.docx", "A 44569-2025")</f>
        <v/>
      </c>
      <c r="AB28">
        <f>HYPERLINK("https://klasma.github.io/Logging_0834/tillsynsmail/A 44569-2025 tillsynsbegäran mail.docx", "A 44569-2025")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46221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Långbensgroda</t>
        </is>
      </c>
      <c r="V29">
        <f>HYPERLINK("https://klasma.github.io/Logging_0834/artfynd/A 6611-2026 artfynd.xlsx", "A 6611-2026")</f>
        <v/>
      </c>
      <c r="W29">
        <f>HYPERLINK("https://klasma.github.io/Logging_0834/kartor/A 6611-2026 karta.png", "A 6611-2026")</f>
        <v/>
      </c>
      <c r="Y29">
        <f>HYPERLINK("https://klasma.github.io/Logging_0834/klagomål/A 6611-2026 FSC-klagomål.docx", "A 6611-2026")</f>
        <v/>
      </c>
      <c r="Z29">
        <f>HYPERLINK("https://klasma.github.io/Logging_0834/klagomålsmail/A 6611-2026 FSC-klagomål mail.docx", "A 6611-2026")</f>
        <v/>
      </c>
      <c r="AA29">
        <f>HYPERLINK("https://klasma.github.io/Logging_0834/tillsyn/A 6611-2026 tillsynsbegäran.docx", "A 6611-2026")</f>
        <v/>
      </c>
      <c r="AB29">
        <f>HYPERLINK("https://klasma.github.io/Logging_0834/tillsynsmail/A 6611-2026 tillsynsbegäran mail.docx", "A 6611-2026")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46221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Större brunfladdermus</t>
        </is>
      </c>
      <c r="V30">
        <f>HYPERLINK("https://klasma.github.io/Logging_0834/artfynd/A 35769-2025 artfynd.xlsx", "A 35769-2025")</f>
        <v/>
      </c>
      <c r="W30">
        <f>HYPERLINK("https://klasma.github.io/Logging_0834/kartor/A 35769-2025 karta.png", "A 35769-2025")</f>
        <v/>
      </c>
      <c r="Y30">
        <f>HYPERLINK("https://klasma.github.io/Logging_0834/klagomål/A 35769-2025 FSC-klagomål.docx", "A 35769-2025")</f>
        <v/>
      </c>
      <c r="Z30">
        <f>HYPERLINK("https://klasma.github.io/Logging_0834/klagomålsmail/A 35769-2025 FSC-klagomål mail.docx", "A 35769-2025")</f>
        <v/>
      </c>
      <c r="AA30">
        <f>HYPERLINK("https://klasma.github.io/Logging_0834/tillsyn/A 35769-2025 tillsynsbegäran.docx", "A 35769-2025")</f>
        <v/>
      </c>
      <c r="AB30">
        <f>HYPERLINK("https://klasma.github.io/Logging_0834/tillsynsmail/A 35769-2025 tillsynsbegäran mail.docx", "A 35769-2025")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46221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Mattlummer</t>
        </is>
      </c>
      <c r="V31">
        <f>HYPERLINK("https://klasma.github.io/Logging_0834/artfynd/A 11606-2026 artfynd.xlsx", "A 11606-2026")</f>
        <v/>
      </c>
      <c r="W31">
        <f>HYPERLINK("https://klasma.github.io/Logging_0834/kartor/A 11606-2026 karta.png", "A 11606-2026")</f>
        <v/>
      </c>
      <c r="Y31">
        <f>HYPERLINK("https://klasma.github.io/Logging_0834/klagomål/A 11606-2026 FSC-klagomål.docx", "A 11606-2026")</f>
        <v/>
      </c>
      <c r="Z31">
        <f>HYPERLINK("https://klasma.github.io/Logging_0834/klagomålsmail/A 11606-2026 FSC-klagomål mail.docx", "A 11606-2026")</f>
        <v/>
      </c>
      <c r="AA31">
        <f>HYPERLINK("https://klasma.github.io/Logging_0834/tillsyn/A 11606-2026 tillsynsbegäran.docx", "A 11606-2026")</f>
        <v/>
      </c>
      <c r="AB31">
        <f>HYPERLINK("https://klasma.github.io/Logging_0834/tillsynsmail/A 11606-2026 tillsynsbegäran mail.docx", "A 11606-2026")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46221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Långbensgroda</t>
        </is>
      </c>
      <c r="V32">
        <f>HYPERLINK("https://klasma.github.io/Logging_0834/artfynd/A 2667-2022 artfynd.xlsx", "A 2667-2022")</f>
        <v/>
      </c>
      <c r="W32">
        <f>HYPERLINK("https://klasma.github.io/Logging_0834/kartor/A 2667-2022 karta.png", "A 2667-2022")</f>
        <v/>
      </c>
      <c r="Y32">
        <f>HYPERLINK("https://klasma.github.io/Logging_0834/klagomål/A 2667-2022 FSC-klagomål.docx", "A 2667-2022")</f>
        <v/>
      </c>
      <c r="Z32">
        <f>HYPERLINK("https://klasma.github.io/Logging_0834/klagomålsmail/A 2667-2022 FSC-klagomål mail.docx", "A 2667-2022")</f>
        <v/>
      </c>
      <c r="AA32">
        <f>HYPERLINK("https://klasma.github.io/Logging_0834/tillsyn/A 2667-2022 tillsynsbegäran.docx", "A 2667-2022")</f>
        <v/>
      </c>
      <c r="AB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46221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Långbensgroda</t>
        </is>
      </c>
      <c r="V33">
        <f>HYPERLINK("https://klasma.github.io/Logging_0834/artfynd/A 15376-2023 artfynd.xlsx", "A 15376-2023")</f>
        <v/>
      </c>
      <c r="W33">
        <f>HYPERLINK("https://klasma.github.io/Logging_0834/kartor/A 15376-2023 karta.png", "A 15376-2023")</f>
        <v/>
      </c>
      <c r="Y33">
        <f>HYPERLINK("https://klasma.github.io/Logging_0834/klagomål/A 15376-2023 FSC-klagomål.docx", "A 15376-2023")</f>
        <v/>
      </c>
      <c r="Z33">
        <f>HYPERLINK("https://klasma.github.io/Logging_0834/klagomålsmail/A 15376-2023 FSC-klagomål mail.docx", "A 15376-2023")</f>
        <v/>
      </c>
      <c r="AA33">
        <f>HYPERLINK("https://klasma.github.io/Logging_0834/tillsyn/A 15376-2023 tillsynsbegäran.docx", "A 15376-2023")</f>
        <v/>
      </c>
      <c r="AB33">
        <f>HYPERLINK("https://klasma.github.io/Logging_0834/tillsynsmail/A 15376-2023 tillsynsbegäran mail.docx", "A 15376-2023")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46221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HYPERLINK("https://klasma.github.io/Logging_0834/artfynd/A 16467-2026 artfynd.xlsx", "A 16467-2026")</f>
        <v/>
      </c>
      <c r="W34">
        <f>HYPERLINK("https://klasma.github.io/Logging_0834/kartor/A 16467-2026 karta.png", "A 16467-2026")</f>
        <v/>
      </c>
      <c r="Y34">
        <f>HYPERLINK("https://klasma.github.io/Logging_0834/klagomål/A 16467-2026 FSC-klagomål.docx", "A 16467-2026")</f>
        <v/>
      </c>
      <c r="Z34">
        <f>HYPERLINK("https://klasma.github.io/Logging_0834/klagomålsmail/A 16467-2026 FSC-klagomål mail.docx", "A 16467-2026")</f>
        <v/>
      </c>
      <c r="AA34">
        <f>HYPERLINK("https://klasma.github.io/Logging_0834/tillsyn/A 16467-2026 tillsynsbegäran.docx", "A 16467-2026")</f>
        <v/>
      </c>
      <c r="AB34">
        <f>HYPERLINK("https://klasma.github.io/Logging_0834/tillsynsmail/A 16467-2026 tillsynsbegäran mail.docx", "A 16467-2026")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46221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Gullviva</t>
        </is>
      </c>
      <c r="V35">
        <f>HYPERLINK("https://klasma.github.io/Logging_0834/artfynd/A 9688-2023 artfynd.xlsx", "A 9688-2023")</f>
        <v/>
      </c>
      <c r="W35">
        <f>HYPERLINK("https://klasma.github.io/Logging_0834/kartor/A 9688-2023 karta.png", "A 9688-2023")</f>
        <v/>
      </c>
      <c r="Y35">
        <f>HYPERLINK("https://klasma.github.io/Logging_0834/klagomål/A 9688-2023 FSC-klagomål.docx", "A 9688-2023")</f>
        <v/>
      </c>
      <c r="Z35">
        <f>HYPERLINK("https://klasma.github.io/Logging_0834/klagomålsmail/A 9688-2023 FSC-klagomål mail.docx", "A 9688-2023")</f>
        <v/>
      </c>
      <c r="AA35">
        <f>HYPERLINK("https://klasma.github.io/Logging_0834/tillsyn/A 9688-2023 tillsynsbegäran.docx", "A 9688-2023")</f>
        <v/>
      </c>
      <c r="AB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46221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Åkerkål</t>
        </is>
      </c>
      <c r="V36">
        <f>HYPERLINK("https://klasma.github.io/Logging_0834/artfynd/A 5755-2022 artfynd.xlsx", "A 5755-2022")</f>
        <v/>
      </c>
      <c r="W36">
        <f>HYPERLINK("https://klasma.github.io/Logging_0834/kartor/A 5755-2022 karta.png", "A 5755-2022")</f>
        <v/>
      </c>
      <c r="Y36">
        <f>HYPERLINK("https://klasma.github.io/Logging_0834/klagomål/A 5755-2022 FSC-klagomål.docx", "A 5755-2022")</f>
        <v/>
      </c>
      <c r="Z36">
        <f>HYPERLINK("https://klasma.github.io/Logging_0834/klagomålsmail/A 5755-2022 FSC-klagomål mail.docx", "A 5755-2022")</f>
        <v/>
      </c>
      <c r="AA36">
        <f>HYPERLINK("https://klasma.github.io/Logging_0834/tillsyn/A 5755-2022 tillsynsbegäran.docx", "A 5755-2022")</f>
        <v/>
      </c>
      <c r="AB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46221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Murgröna</t>
        </is>
      </c>
      <c r="V37">
        <f>HYPERLINK("https://klasma.github.io/Logging_0834/artfynd/A 59361-2023 artfynd.xlsx", "A 59361-2023")</f>
        <v/>
      </c>
      <c r="W37">
        <f>HYPERLINK("https://klasma.github.io/Logging_0834/kartor/A 59361-2023 karta.png", "A 59361-2023")</f>
        <v/>
      </c>
      <c r="Y37">
        <f>HYPERLINK("https://klasma.github.io/Logging_0834/klagomål/A 59361-2023 FSC-klagomål.docx", "A 59361-2023")</f>
        <v/>
      </c>
      <c r="Z37">
        <f>HYPERLINK("https://klasma.github.io/Logging_0834/klagomålsmail/A 59361-2023 FSC-klagomål mail.docx", "A 59361-2023")</f>
        <v/>
      </c>
      <c r="AA37">
        <f>HYPERLINK("https://klasma.github.io/Logging_0834/tillsyn/A 59361-2023 tillsynsbegäran.docx", "A 59361-2023")</f>
        <v/>
      </c>
      <c r="AB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46221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Stor revmossa</t>
        </is>
      </c>
      <c r="V38">
        <f>HYPERLINK("https://klasma.github.io/Logging_0834/artfynd/A 36625-2022 artfynd.xlsx", "A 36625-2022")</f>
        <v/>
      </c>
      <c r="W38">
        <f>HYPERLINK("https://klasma.github.io/Logging_0834/kartor/A 36625-2022 karta.png", "A 36625-2022")</f>
        <v/>
      </c>
      <c r="Y38">
        <f>HYPERLINK("https://klasma.github.io/Logging_0834/klagomål/A 36625-2022 FSC-klagomål.docx", "A 36625-2022")</f>
        <v/>
      </c>
      <c r="Z38">
        <f>HYPERLINK("https://klasma.github.io/Logging_0834/klagomålsmail/A 36625-2022 FSC-klagomål mail.docx", "A 36625-2022")</f>
        <v/>
      </c>
      <c r="AA38">
        <f>HYPERLINK("https://klasma.github.io/Logging_0834/tillsyn/A 36625-2022 tillsynsbegäran.docx", "A 36625-2022")</f>
        <v/>
      </c>
      <c r="AB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46221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Grovticka</t>
        </is>
      </c>
      <c r="V39">
        <f>HYPERLINK("https://klasma.github.io/Logging_0834/artfynd/A 24157-2023 artfynd.xlsx", "A 24157-2023")</f>
        <v/>
      </c>
      <c r="W39">
        <f>HYPERLINK("https://klasma.github.io/Logging_0834/kartor/A 24157-2023 karta.png", "A 24157-2023")</f>
        <v/>
      </c>
      <c r="Y39">
        <f>HYPERLINK("https://klasma.github.io/Logging_0834/klagomål/A 24157-2023 FSC-klagomål.docx", "A 24157-2023")</f>
        <v/>
      </c>
      <c r="Z39">
        <f>HYPERLINK("https://klasma.github.io/Logging_0834/klagomålsmail/A 24157-2023 FSC-klagomål mail.docx", "A 24157-2023")</f>
        <v/>
      </c>
      <c r="AA39">
        <f>HYPERLINK("https://klasma.github.io/Logging_0834/tillsyn/A 24157-2023 tillsynsbegäran.docx", "A 24157-2023")</f>
        <v/>
      </c>
      <c r="AB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46221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Hasselmus</t>
        </is>
      </c>
      <c r="V40">
        <f>HYPERLINK("https://klasma.github.io/Logging_0834/artfynd/A 2277-2023 artfynd.xlsx", "A 2277-2023")</f>
        <v/>
      </c>
      <c r="W40">
        <f>HYPERLINK("https://klasma.github.io/Logging_0834/kartor/A 2277-2023 karta.png", "A 2277-2023")</f>
        <v/>
      </c>
      <c r="Y40">
        <f>HYPERLINK("https://klasma.github.io/Logging_0834/klagomål/A 2277-2023 FSC-klagomål.docx", "A 2277-2023")</f>
        <v/>
      </c>
      <c r="Z40">
        <f>HYPERLINK("https://klasma.github.io/Logging_0834/klagomålsmail/A 2277-2023 FSC-klagomål mail.docx", "A 2277-2023")</f>
        <v/>
      </c>
      <c r="AA40">
        <f>HYPERLINK("https://klasma.github.io/Logging_0834/tillsyn/A 2277-2023 tillsynsbegäran.docx", "A 2277-2023")</f>
        <v/>
      </c>
      <c r="AB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46221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s="2" t="inlineStr">
        <is>
          <t>Gullviva</t>
        </is>
      </c>
      <c r="V41">
        <f>HYPERLINK("https://klasma.github.io/Logging_0834/artfynd/A 52071-2023 artfynd.xlsx", "A 52071-2023")</f>
        <v/>
      </c>
      <c r="W41">
        <f>HYPERLINK("https://klasma.github.io/Logging_0834/kartor/A 52071-2023 karta.png", "A 52071-2023")</f>
        <v/>
      </c>
      <c r="Y41">
        <f>HYPERLINK("https://klasma.github.io/Logging_0834/klagomål/A 52071-2023 FSC-klagomål.docx", "A 52071-2023")</f>
        <v/>
      </c>
      <c r="Z41">
        <f>HYPERLINK("https://klasma.github.io/Logging_0834/klagomålsmail/A 52071-2023 FSC-klagomål mail.docx", "A 52071-2023")</f>
        <v/>
      </c>
      <c r="AA41">
        <f>HYPERLINK("https://klasma.github.io/Logging_0834/tillsyn/A 52071-2023 tillsynsbegäran.docx", "A 52071-2023")</f>
        <v/>
      </c>
      <c r="AB41">
        <f>HYPERLINK("https://klasma.github.io/Logging_0834/tillsynsmail/A 52071-2023 tillsynsbegäran mail.docx", "A 52071-2023")</f>
        <v/>
      </c>
    </row>
    <row r="42" ht="15" customHeight="1">
      <c r="A42" t="inlineStr">
        <is>
          <t>A 24513-2026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46221</v>
      </c>
      <c r="F42" t="inlineStr">
        <is>
          <t>KALMAR LÄN</t>
        </is>
      </c>
      <c r="G42" t="inlineStr">
        <is>
          <t>TORSÅS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Gullviva</t>
        </is>
      </c>
      <c r="V42">
        <f>HYPERLINK("https://klasma.github.io/Logging_0834/artfynd/A 24513-2026 artfynd.xlsx", "A 24513-2026")</f>
        <v/>
      </c>
      <c r="W42">
        <f>HYPERLINK("https://klasma.github.io/Logging_0834/kartor/A 24513-2026 karta.png", "A 24513-2026")</f>
        <v/>
      </c>
      <c r="Y42">
        <f>HYPERLINK("https://klasma.github.io/Logging_0834/klagomål/A 24513-2026 FSC-klagomål.docx", "A 24513-2026")</f>
        <v/>
      </c>
      <c r="Z42">
        <f>HYPERLINK("https://klasma.github.io/Logging_0834/klagomålsmail/A 24513-2026 FSC-klagomål mail.docx", "A 24513-2026")</f>
        <v/>
      </c>
      <c r="AA42">
        <f>HYPERLINK("https://klasma.github.io/Logging_0834/tillsyn/A 24513-2026 tillsynsbegäran.docx", "A 24513-2026")</f>
        <v/>
      </c>
      <c r="AB42">
        <f>HYPERLINK("https://klasma.github.io/Logging_0834/tillsynsmail/A 24513-2026 tillsynsbegäran mail.docx", "A 24513-2026")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46221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HYPERLINK("https://klasma.github.io/Logging_0834/artfynd/A 44226-2024 artfynd.xlsx", "A 44226-2024")</f>
        <v/>
      </c>
      <c r="W43">
        <f>HYPERLINK("https://klasma.github.io/Logging_0834/kartor/A 44226-2024 karta.png", "A 44226-2024")</f>
        <v/>
      </c>
      <c r="Y43">
        <f>HYPERLINK("https://klasma.github.io/Logging_0834/klagomål/A 44226-2024 FSC-klagomål.docx", "A 44226-2024")</f>
        <v/>
      </c>
      <c r="Z43">
        <f>HYPERLINK("https://klasma.github.io/Logging_0834/klagomålsmail/A 44226-2024 FSC-klagomål mail.docx", "A 44226-2024")</f>
        <v/>
      </c>
      <c r="AA43">
        <f>HYPERLINK("https://klasma.github.io/Logging_0834/tillsyn/A 44226-2024 tillsynsbegäran.docx", "A 44226-2024")</f>
        <v/>
      </c>
      <c r="AB43">
        <f>HYPERLINK("https://klasma.github.io/Logging_0834/tillsynsmail/A 44226-2024 tillsynsbegäran mail.docx", "A 44226-2024")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46221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Murgröna</t>
        </is>
      </c>
      <c r="V44">
        <f>HYPERLINK("https://klasma.github.io/Logging_0834/artfynd/S 4235-2023 artfynd.xlsx", "S 4235-2023")</f>
        <v/>
      </c>
      <c r="W44">
        <f>HYPERLINK("https://klasma.github.io/Logging_0834/kartor/S 4235-2023 karta.png", "S 4235-2023")</f>
        <v/>
      </c>
      <c r="Y44">
        <f>HYPERLINK("https://klasma.github.io/Logging_0834/klagomål/S 4235-2023 FSC-klagomål.docx", "S 4235-2023")</f>
        <v/>
      </c>
      <c r="Z44">
        <f>HYPERLINK("https://klasma.github.io/Logging_0834/klagomålsmail/S 4235-2023 FSC-klagomål mail.docx", "S 4235-2023")</f>
        <v/>
      </c>
      <c r="AA44">
        <f>HYPERLINK("https://klasma.github.io/Logging_0834/tillsyn/S 4235-2023 tillsynsbegäran.docx", "S 4235-2023")</f>
        <v/>
      </c>
      <c r="AB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46221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HYPERLINK("https://klasma.github.io/Logging_0834/artfynd/S 1065-2024 artfynd.xlsx", "S 1065-2024")</f>
        <v/>
      </c>
      <c r="W45">
        <f>HYPERLINK("https://klasma.github.io/Logging_0834/kartor/S 1065-2024 karta.png", "S 1065-2024")</f>
        <v/>
      </c>
      <c r="Y45">
        <f>HYPERLINK("https://klasma.github.io/Logging_0834/klagomål/S 1065-2024 FSC-klagomål.docx", "S 1065-2024")</f>
        <v/>
      </c>
      <c r="Z45">
        <f>HYPERLINK("https://klasma.github.io/Logging_0834/klagomålsmail/S 1065-2024 FSC-klagomål mail.docx", "S 1065-2024")</f>
        <v/>
      </c>
      <c r="AA45">
        <f>HYPERLINK("https://klasma.github.io/Logging_0834/tillsyn/S 1065-2024 tillsynsbegäran.docx", "S 1065-2024")</f>
        <v/>
      </c>
      <c r="AB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46221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Långbensgroda</t>
        </is>
      </c>
      <c r="V46">
        <f>HYPERLINK("https://klasma.github.io/Logging_0834/artfynd/S 1845-2024 artfynd.xlsx", "S 1845-2024")</f>
        <v/>
      </c>
      <c r="W46">
        <f>HYPERLINK("https://klasma.github.io/Logging_0834/kartor/S 1845-2024 karta.png", "S 1845-2024")</f>
        <v/>
      </c>
      <c r="Y46">
        <f>HYPERLINK("https://klasma.github.io/Logging_0834/klagomål/S 1845-2024 FSC-klagomål.docx", "S 1845-2024")</f>
        <v/>
      </c>
      <c r="Z46">
        <f>HYPERLINK("https://klasma.github.io/Logging_0834/klagomålsmail/S 1845-2024 FSC-klagomål mail.docx", "S 1845-2024")</f>
        <v/>
      </c>
      <c r="AA46">
        <f>HYPERLINK("https://klasma.github.io/Logging_0834/tillsyn/S 1845-2024 tillsynsbegäran.docx", "S 1845-2024")</f>
        <v/>
      </c>
      <c r="AB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46221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Åkerkulla</t>
        </is>
      </c>
      <c r="V47">
        <f>HYPERLINK("https://klasma.github.io/Logging_0834/artfynd/S 298-2025 artfynd.xlsx", "S 298-2025")</f>
        <v/>
      </c>
      <c r="W47">
        <f>HYPERLINK("https://klasma.github.io/Logging_0834/kartor/S 298-2025 karta.png", "S 298-2025")</f>
        <v/>
      </c>
      <c r="Y47">
        <f>HYPERLINK("https://klasma.github.io/Logging_0834/klagomål/S 298-2025 FSC-klagomål.docx", "S 298-2025")</f>
        <v/>
      </c>
      <c r="Z47">
        <f>HYPERLINK("https://klasma.github.io/Logging_0834/klagomålsmail/S 298-2025 FSC-klagomål mail.docx", "S 298-2025")</f>
        <v/>
      </c>
      <c r="AA47">
        <f>HYPERLINK("https://klasma.github.io/Logging_0834/tillsyn/S 298-2025 tillsynsbegäran.docx", "S 298-2025")</f>
        <v/>
      </c>
      <c r="AB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46221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HYPERLINK("https://klasma.github.io/Logging_0834/artfynd/S 595-2023 artfynd.xlsx", "S 595-2023")</f>
        <v/>
      </c>
      <c r="W48">
        <f>HYPERLINK("https://klasma.github.io/Logging_0834/kartor/S 595-2023 karta.png", "S 595-2023")</f>
        <v/>
      </c>
      <c r="Y48">
        <f>HYPERLINK("https://klasma.github.io/Logging_0834/klagomål/S 595-2023 FSC-klagomål.docx", "S 595-2023")</f>
        <v/>
      </c>
      <c r="Z48">
        <f>HYPERLINK("https://klasma.github.io/Logging_0834/klagomålsmail/S 595-2023 FSC-klagomål mail.docx", "S 595-2023")</f>
        <v/>
      </c>
      <c r="AA48">
        <f>HYPERLINK("https://klasma.github.io/Logging_0834/tillsyn/S 595-2023 tillsynsbegäran.docx", "S 595-2023")</f>
        <v/>
      </c>
      <c r="AB48">
        <f>HYPERLINK("https://klasma.github.io/Logging_0834/tillsynsmail/S 595-2023 tillsynsbegäran mail.docx", "S 595-2023")</f>
        <v/>
      </c>
      <c r="AC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46221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Revlummer</t>
        </is>
      </c>
      <c r="V49">
        <f>HYPERLINK("https://klasma.github.io/Logging_0834/artfynd/S 1054-2024 artfynd.xlsx", "S 1054-2024")</f>
        <v/>
      </c>
      <c r="W49">
        <f>HYPERLINK("https://klasma.github.io/Logging_0834/kartor/S 1054-2024 karta.png", "S 1054-2024")</f>
        <v/>
      </c>
      <c r="Y49">
        <f>HYPERLINK("https://klasma.github.io/Logging_0834/klagomål/S 1054-2024 FSC-klagomål.docx", "S 1054-2024")</f>
        <v/>
      </c>
      <c r="Z49">
        <f>HYPERLINK("https://klasma.github.io/Logging_0834/klagomålsmail/S 1054-2024 FSC-klagomål mail.docx", "S 1054-2024")</f>
        <v/>
      </c>
      <c r="AA49">
        <f>HYPERLINK("https://klasma.github.io/Logging_0834/tillsyn/S 1054-2024 tillsynsbegäran.docx", "S 1054-2024")</f>
        <v/>
      </c>
      <c r="AB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46221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HYPERLINK("https://klasma.github.io/Logging_0834/artfynd/S 586-2026 artfynd.xlsx", "S 586-2026")</f>
        <v/>
      </c>
      <c r="W50">
        <f>HYPERLINK("https://klasma.github.io/Logging_0834/kartor/S 586-2026 karta.png", "S 586-2026")</f>
        <v/>
      </c>
      <c r="Y50">
        <f>HYPERLINK("https://klasma.github.io/Logging_0834/klagomål/S 586-2026 FSC-klagomål.docx", "S 586-2026")</f>
        <v/>
      </c>
      <c r="Z50">
        <f>HYPERLINK("https://klasma.github.io/Logging_0834/klagomålsmail/S 586-2026 FSC-klagomål mail.docx", "S 586-2026")</f>
        <v/>
      </c>
      <c r="AA50">
        <f>HYPERLINK("https://klasma.github.io/Logging_0834/tillsyn/S 586-2026 tillsynsbegäran.docx", "S 586-2026")</f>
        <v/>
      </c>
      <c r="AB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46221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46221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46221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46221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44213-2021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46221</v>
      </c>
      <c r="F55" t="inlineStr">
        <is>
          <t>KALMAR LÄN</t>
        </is>
      </c>
      <c r="G55" t="inlineStr">
        <is>
          <t>TORSÅS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46221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46221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46221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46221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46221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46221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46221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46221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46221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46221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46221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46221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46221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46221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46221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46221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46221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46221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46221</v>
      </c>
      <c r="F74" t="inlineStr">
        <is>
          <t>KALMAR LÄN</t>
        </is>
      </c>
      <c r="G74" t="inlineStr">
        <is>
          <t>TORSÅS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46221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65912-2021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46221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46221</v>
      </c>
      <c r="F77" t="inlineStr">
        <is>
          <t>KALMAR LÄN</t>
        </is>
      </c>
      <c r="G77" t="inlineStr">
        <is>
          <t>TORSÅS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46221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55288-2021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46221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46221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64991-2021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44514</v>
      </c>
      <c r="E81" s="1" t="n">
        <v>46221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69679-2021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46221</v>
      </c>
      <c r="F82" t="inlineStr">
        <is>
          <t>KALMAR LÄN</t>
        </is>
      </c>
      <c r="G82" t="inlineStr">
        <is>
          <t>TORSÅS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70317-2021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46221</v>
      </c>
      <c r="F83" t="inlineStr">
        <is>
          <t>KALMAR LÄN</t>
        </is>
      </c>
      <c r="G83" t="inlineStr">
        <is>
          <t>TORSÅS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46221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44411</v>
      </c>
      <c r="E85" s="1" t="n">
        <v>46221</v>
      </c>
      <c r="F85" t="inlineStr">
        <is>
          <t>KALMAR LÄN</t>
        </is>
      </c>
      <c r="G85" t="inlineStr">
        <is>
          <t>TORSÅS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46221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46221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46221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46221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46221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46221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46221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46221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46221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46221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46221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46221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46221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46221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46221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46221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46221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46221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46221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46221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46221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46221</v>
      </c>
      <c r="F107" t="inlineStr">
        <is>
          <t>KALMAR LÄN</t>
        </is>
      </c>
      <c r="G107" t="inlineStr">
        <is>
          <t>TORSÅS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40569-2021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44420</v>
      </c>
      <c r="E108" s="1" t="n">
        <v>46221</v>
      </c>
      <c r="F108" t="inlineStr">
        <is>
          <t>KALMAR LÄN</t>
        </is>
      </c>
      <c r="G108" t="inlineStr">
        <is>
          <t>TORSÅS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35708-2024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46221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46221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46221</v>
      </c>
      <c r="F111" t="inlineStr">
        <is>
          <t>KALMAR LÄN</t>
        </is>
      </c>
      <c r="G111" t="inlineStr">
        <is>
          <t>TORSÅS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46221</v>
      </c>
      <c r="F112" t="inlineStr">
        <is>
          <t>KALMAR LÄN</t>
        </is>
      </c>
      <c r="G112" t="inlineStr">
        <is>
          <t>TORSÅS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46221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46221</v>
      </c>
      <c r="F114" t="inlineStr">
        <is>
          <t>KALMAR LÄN</t>
        </is>
      </c>
      <c r="G114" t="inlineStr">
        <is>
          <t>TORSÅS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46221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26707-2023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46221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53571-2021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46221</v>
      </c>
      <c r="F117" t="inlineStr">
        <is>
          <t>KALMAR LÄN</t>
        </is>
      </c>
      <c r="G117" t="inlineStr">
        <is>
          <t>TORSÅS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18694-2024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45426</v>
      </c>
      <c r="E118" s="1" t="n">
        <v>46221</v>
      </c>
      <c r="F118" t="inlineStr">
        <is>
          <t>KALMAR LÄN</t>
        </is>
      </c>
      <c r="G118" t="inlineStr">
        <is>
          <t>TORSÅS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58441-2023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46221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45327</v>
      </c>
      <c r="E120" s="1" t="n">
        <v>46221</v>
      </c>
      <c r="F120" t="inlineStr">
        <is>
          <t>KALMAR LÄN</t>
        </is>
      </c>
      <c r="G120" t="inlineStr">
        <is>
          <t>TORSÅS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46221</v>
      </c>
      <c r="F121" t="inlineStr">
        <is>
          <t>KALMAR LÄN</t>
        </is>
      </c>
      <c r="G121" t="inlineStr">
        <is>
          <t>TORSÅS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46221</v>
      </c>
      <c r="F122" t="inlineStr">
        <is>
          <t>KALMAR LÄN</t>
        </is>
      </c>
      <c r="G122" t="inlineStr">
        <is>
          <t>TORSÅS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46221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46221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58274-2023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46221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55980-2022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46221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46221</v>
      </c>
      <c r="F127" t="inlineStr">
        <is>
          <t>KALMAR LÄN</t>
        </is>
      </c>
      <c r="G127" t="inlineStr">
        <is>
          <t>TORSÅS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38955-2021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46221</v>
      </c>
      <c r="F128" t="inlineStr">
        <is>
          <t>KALMAR LÄN</t>
        </is>
      </c>
      <c r="G128" t="inlineStr">
        <is>
          <t>TORSÅS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44849</v>
      </c>
      <c r="E129" s="1" t="n">
        <v>46221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46221</v>
      </c>
      <c r="F130" t="inlineStr">
        <is>
          <t>KALMAR LÄN</t>
        </is>
      </c>
      <c r="G130" t="inlineStr">
        <is>
          <t>TORSÅS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46221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65651-2021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44516</v>
      </c>
      <c r="E132" s="1" t="n">
        <v>46221</v>
      </c>
      <c r="F132" t="inlineStr">
        <is>
          <t>KALMAR LÄN</t>
        </is>
      </c>
      <c r="G132" t="inlineStr">
        <is>
          <t>TORSÅS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46221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68493-2021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44529</v>
      </c>
      <c r="E134" s="1" t="n">
        <v>46221</v>
      </c>
      <c r="F134" t="inlineStr">
        <is>
          <t>KALMAR LÄN</t>
        </is>
      </c>
      <c r="G134" t="inlineStr">
        <is>
          <t>TORSÅS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58680-2022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46221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8405-2024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46221</v>
      </c>
      <c r="F136" t="inlineStr">
        <is>
          <t>KALMAR LÄN</t>
        </is>
      </c>
      <c r="G136" t="inlineStr">
        <is>
          <t>TORSÅS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64348-2021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46221</v>
      </c>
      <c r="F137" t="inlineStr">
        <is>
          <t>KALMAR LÄN</t>
        </is>
      </c>
      <c r="G137" t="inlineStr">
        <is>
          <t>TORSÅS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46221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53976-2022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46221</v>
      </c>
      <c r="F139" t="inlineStr">
        <is>
          <t>KALMAR LÄN</t>
        </is>
      </c>
      <c r="G139" t="inlineStr">
        <is>
          <t>TORSÅS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46221</v>
      </c>
      <c r="F140" t="inlineStr">
        <is>
          <t>KALMAR LÄN</t>
        </is>
      </c>
      <c r="G140" t="inlineStr">
        <is>
          <t>TORSÅS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46221</v>
      </c>
      <c r="F141" t="inlineStr">
        <is>
          <t>KALMAR LÄN</t>
        </is>
      </c>
      <c r="G141" t="inlineStr">
        <is>
          <t>TORSÅS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12591-2022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44640</v>
      </c>
      <c r="E142" s="1" t="n">
        <v>46221</v>
      </c>
      <c r="F142" t="inlineStr">
        <is>
          <t>KALMAR LÄN</t>
        </is>
      </c>
      <c r="G142" t="inlineStr">
        <is>
          <t>TORSÅS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12915-2023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46221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12958-2023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46221</v>
      </c>
      <c r="F144" t="inlineStr">
        <is>
          <t>KALMAR LÄN</t>
        </is>
      </c>
      <c r="G144" t="inlineStr">
        <is>
          <t>TORSÅS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46221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46221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58917-2024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46221</v>
      </c>
      <c r="F147" t="inlineStr">
        <is>
          <t>KALMAR LÄN</t>
        </is>
      </c>
      <c r="G147" t="inlineStr">
        <is>
          <t>TORSÅS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30869-2023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46221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28945-2025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45820</v>
      </c>
      <c r="E149" s="1" t="n">
        <v>46221</v>
      </c>
      <c r="F149" t="inlineStr">
        <is>
          <t>KALMAR LÄN</t>
        </is>
      </c>
      <c r="G149" t="inlineStr">
        <is>
          <t>TORSÅS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46221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46221</v>
      </c>
      <c r="F151" t="inlineStr">
        <is>
          <t>KALMAR LÄN</t>
        </is>
      </c>
      <c r="G151" t="inlineStr">
        <is>
          <t>TORSÅS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46622-2024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46221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46221</v>
      </c>
      <c r="F153" t="inlineStr">
        <is>
          <t>KALMAR LÄN</t>
        </is>
      </c>
      <c r="G153" t="inlineStr">
        <is>
          <t>TORSÅS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46221</v>
      </c>
      <c r="F154" t="inlineStr">
        <is>
          <t>KALMAR LÄN</t>
        </is>
      </c>
      <c r="G154" t="inlineStr">
        <is>
          <t>TORSÅS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24672-2025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46221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8512-2022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46221</v>
      </c>
      <c r="F156" t="inlineStr">
        <is>
          <t>KALMAR LÄN</t>
        </is>
      </c>
      <c r="G156" t="inlineStr">
        <is>
          <t>TORSÅS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46221</v>
      </c>
      <c r="F157" t="inlineStr">
        <is>
          <t>KALMAR LÄN</t>
        </is>
      </c>
      <c r="G157" t="inlineStr">
        <is>
          <t>TORSÅS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45082</v>
      </c>
      <c r="E158" s="1" t="n">
        <v>46221</v>
      </c>
      <c r="F158" t="inlineStr">
        <is>
          <t>KALMAR LÄN</t>
        </is>
      </c>
      <c r="G158" t="inlineStr">
        <is>
          <t>TORSÅS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32922-2025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46221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46221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46221</v>
      </c>
      <c r="F161" t="inlineStr">
        <is>
          <t>KALMAR LÄN</t>
        </is>
      </c>
      <c r="G161" t="inlineStr">
        <is>
          <t>TORSÅS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46221</v>
      </c>
      <c r="F162" t="inlineStr">
        <is>
          <t>KALMAR LÄN</t>
        </is>
      </c>
      <c r="G162" t="inlineStr">
        <is>
          <t>TORSÅS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46221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46221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46221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46221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23091-2023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46221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46221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62661-2023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46221</v>
      </c>
      <c r="F169" t="inlineStr">
        <is>
          <t>KALMAR LÄN</t>
        </is>
      </c>
      <c r="G169" t="inlineStr">
        <is>
          <t>TORSÅS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46098-2025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45924</v>
      </c>
      <c r="E170" s="1" t="n">
        <v>46221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46221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46221</v>
      </c>
      <c r="F172" t="inlineStr">
        <is>
          <t>KALMAR LÄN</t>
        </is>
      </c>
      <c r="G172" t="inlineStr">
        <is>
          <t>TORSÅS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46221</v>
      </c>
      <c r="F173" t="inlineStr">
        <is>
          <t>KALMAR LÄN</t>
        </is>
      </c>
      <c r="G173" t="inlineStr">
        <is>
          <t>TORSÅS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30867-2023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46221</v>
      </c>
      <c r="F174" t="inlineStr">
        <is>
          <t>KALMAR LÄN</t>
        </is>
      </c>
      <c r="G174" t="inlineStr">
        <is>
          <t>TORSÅS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30874-2023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46221</v>
      </c>
      <c r="F175" t="inlineStr">
        <is>
          <t>KALMAR LÄN</t>
        </is>
      </c>
      <c r="G175" t="inlineStr">
        <is>
          <t>TORSÅS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35771-2025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45860</v>
      </c>
      <c r="E176" s="1" t="n">
        <v>46221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46221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46221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46221</v>
      </c>
      <c r="F179" t="inlineStr">
        <is>
          <t>KALMAR LÄN</t>
        </is>
      </c>
      <c r="G179" t="inlineStr">
        <is>
          <t>TORSÅS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60055-2021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46221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36527-2025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45869</v>
      </c>
      <c r="E181" s="1" t="n">
        <v>46221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45869</v>
      </c>
      <c r="E182" s="1" t="n">
        <v>46221</v>
      </c>
      <c r="F182" t="inlineStr">
        <is>
          <t>KALMAR LÄN</t>
        </is>
      </c>
      <c r="G182" t="inlineStr">
        <is>
          <t>TORSÅS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45869</v>
      </c>
      <c r="E183" s="1" t="n">
        <v>46221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46221</v>
      </c>
      <c r="F184" t="inlineStr">
        <is>
          <t>KALMAR LÄN</t>
        </is>
      </c>
      <c r="G184" t="inlineStr">
        <is>
          <t>TORSÅS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46221</v>
      </c>
      <c r="F185" t="inlineStr">
        <is>
          <t>KALMAR LÄN</t>
        </is>
      </c>
      <c r="G185" t="inlineStr">
        <is>
          <t>TORSÅS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46221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46221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35116-2023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46221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46221</v>
      </c>
      <c r="F189" t="inlineStr">
        <is>
          <t>KALMAR LÄN</t>
        </is>
      </c>
      <c r="G189" t="inlineStr">
        <is>
          <t>TORSÅS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45093</v>
      </c>
      <c r="E190" s="1" t="n">
        <v>46221</v>
      </c>
      <c r="F190" t="inlineStr">
        <is>
          <t>KALMAR LÄN</t>
        </is>
      </c>
      <c r="G190" t="inlineStr">
        <is>
          <t>TORSÅS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46221</v>
      </c>
      <c r="F191" t="inlineStr">
        <is>
          <t>KALMAR LÄN</t>
        </is>
      </c>
      <c r="G191" t="inlineStr">
        <is>
          <t>TORSÅS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37626-2025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45880</v>
      </c>
      <c r="E192" s="1" t="n">
        <v>46221</v>
      </c>
      <c r="F192" t="inlineStr">
        <is>
          <t>KALMAR LÄN</t>
        </is>
      </c>
      <c r="G192" t="inlineStr">
        <is>
          <t>TORSÅS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46221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46221</v>
      </c>
      <c r="F194" t="inlineStr">
        <is>
          <t>KALMAR LÄN</t>
        </is>
      </c>
      <c r="G194" t="inlineStr">
        <is>
          <t>TORSÅS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45178</v>
      </c>
      <c r="E195" s="1" t="n">
        <v>46221</v>
      </c>
      <c r="F195" t="inlineStr">
        <is>
          <t>KALMAR LÄN</t>
        </is>
      </c>
      <c r="G195" t="inlineStr">
        <is>
          <t>TORSÅS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46221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26491-2022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46221</v>
      </c>
      <c r="F197" t="inlineStr">
        <is>
          <t>KALMAR LÄN</t>
        </is>
      </c>
      <c r="G197" t="inlineStr">
        <is>
          <t>TORSÅS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50962-2025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46221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46221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31760-2022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46221</v>
      </c>
      <c r="F200" t="inlineStr">
        <is>
          <t>KALMAR LÄN</t>
        </is>
      </c>
      <c r="G200" t="inlineStr">
        <is>
          <t>TORSÅS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44985</v>
      </c>
      <c r="E201" s="1" t="n">
        <v>46221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44694</v>
      </c>
      <c r="E202" s="1" t="n">
        <v>46221</v>
      </c>
      <c r="F202" t="inlineStr">
        <is>
          <t>KALMAR LÄN</t>
        </is>
      </c>
      <c r="G202" t="inlineStr">
        <is>
          <t>TORSÅS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17819-2022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46221</v>
      </c>
      <c r="F203" t="inlineStr">
        <is>
          <t>KALMAR LÄN</t>
        </is>
      </c>
      <c r="G203" t="inlineStr">
        <is>
          <t>TORSÅS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17820-2022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46221</v>
      </c>
      <c r="F204" t="inlineStr">
        <is>
          <t>KALMAR LÄN</t>
        </is>
      </c>
      <c r="G204" t="inlineStr">
        <is>
          <t>TORSÅS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46221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46221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46221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44988</v>
      </c>
      <c r="E208" s="1" t="n">
        <v>46221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45029</v>
      </c>
      <c r="E209" s="1" t="n">
        <v>46221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44839-2022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44841</v>
      </c>
      <c r="E210" s="1" t="n">
        <v>46221</v>
      </c>
      <c r="F210" t="inlineStr">
        <is>
          <t>KALMAR LÄN</t>
        </is>
      </c>
      <c r="G210" t="inlineStr">
        <is>
          <t>TORSÅS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54836-2025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46221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37168-2023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46221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41566-2022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44827</v>
      </c>
      <c r="E213" s="1" t="n">
        <v>46221</v>
      </c>
      <c r="F213" t="inlineStr">
        <is>
          <t>KALMAR LÄN</t>
        </is>
      </c>
      <c r="G213" t="inlineStr">
        <is>
          <t>TORSÅS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30871-2023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46221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30875-2023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46221</v>
      </c>
      <c r="F215" t="inlineStr">
        <is>
          <t>KALMAR LÄN</t>
        </is>
      </c>
      <c r="G215" t="inlineStr">
        <is>
          <t>TORSÅS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46221</v>
      </c>
      <c r="F216" t="inlineStr">
        <is>
          <t>KALMAR LÄN</t>
        </is>
      </c>
      <c r="G216" t="inlineStr">
        <is>
          <t>TORSÅS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50208-2021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44457</v>
      </c>
      <c r="E217" s="1" t="n">
        <v>46221</v>
      </c>
      <c r="F217" t="inlineStr">
        <is>
          <t>KALMAR LÄN</t>
        </is>
      </c>
      <c r="G217" t="inlineStr">
        <is>
          <t>TORSÅS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44763</v>
      </c>
      <c r="E218" s="1" t="n">
        <v>46221</v>
      </c>
      <c r="F218" t="inlineStr">
        <is>
          <t>KALMAR LÄN</t>
        </is>
      </c>
      <c r="G218" t="inlineStr">
        <is>
          <t>TORSÅS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46607-2023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46221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46221</v>
      </c>
      <c r="F220" t="inlineStr">
        <is>
          <t>KALMAR LÄN</t>
        </is>
      </c>
      <c r="G220" t="inlineStr">
        <is>
          <t>TORSÅS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46221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46221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46221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46221</v>
      </c>
      <c r="F224" t="inlineStr">
        <is>
          <t>KALMAR LÄN</t>
        </is>
      </c>
      <c r="G224" t="inlineStr">
        <is>
          <t>TORSÅS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46221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12419-2026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46221</v>
      </c>
      <c r="F226" t="inlineStr">
        <is>
          <t>KALMAR LÄN</t>
        </is>
      </c>
      <c r="G226" t="inlineStr">
        <is>
          <t>TORSÅS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59130-2025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45988</v>
      </c>
      <c r="E227" s="1" t="n">
        <v>46221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12415-2026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46221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46221</v>
      </c>
      <c r="F229" t="inlineStr">
        <is>
          <t>KALMAR LÄN</t>
        </is>
      </c>
      <c r="G229" t="inlineStr">
        <is>
          <t>TORSÅS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12484-2026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46221</v>
      </c>
      <c r="F230" t="inlineStr">
        <is>
          <t>KALMAR LÄN</t>
        </is>
      </c>
      <c r="G230" t="inlineStr">
        <is>
          <t>TORSÅS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60810-2022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46221</v>
      </c>
      <c r="F231" t="inlineStr">
        <is>
          <t>KALMAR LÄN</t>
        </is>
      </c>
      <c r="G231" t="inlineStr">
        <is>
          <t>TORSÅS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12944-2026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46221</v>
      </c>
      <c r="F232" t="inlineStr">
        <is>
          <t>KALMAR LÄN</t>
        </is>
      </c>
      <c r="G232" t="inlineStr">
        <is>
          <t>TORSÅS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46221</v>
      </c>
      <c r="F233" t="inlineStr">
        <is>
          <t>KALMAR LÄN</t>
        </is>
      </c>
      <c r="G233" t="inlineStr">
        <is>
          <t>TORSÅS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56360-2022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46221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56522-2022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46221</v>
      </c>
      <c r="F235" t="inlineStr">
        <is>
          <t>KALMAR LÄN</t>
        </is>
      </c>
      <c r="G235" t="inlineStr">
        <is>
          <t>TORSÅS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46221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46221</v>
      </c>
      <c r="F237" t="inlineStr">
        <is>
          <t>KALMAR LÄN</t>
        </is>
      </c>
      <c r="G237" t="inlineStr">
        <is>
          <t>TORSÅS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61499-2025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46221</v>
      </c>
      <c r="F238" t="inlineStr">
        <is>
          <t>KALMAR LÄN</t>
        </is>
      </c>
      <c r="G238" t="inlineStr">
        <is>
          <t>TORSÅS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46221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41572-2022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44827</v>
      </c>
      <c r="E240" s="1" t="n">
        <v>46221</v>
      </c>
      <c r="F240" t="inlineStr">
        <is>
          <t>KALMAR LÄN</t>
        </is>
      </c>
      <c r="G240" t="inlineStr">
        <is>
          <t>TORSÅS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44944</v>
      </c>
      <c r="E241" s="1" t="n">
        <v>46221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46221</v>
      </c>
      <c r="F242" t="inlineStr">
        <is>
          <t>KALMAR LÄN</t>
        </is>
      </c>
      <c r="G242" t="inlineStr">
        <is>
          <t>TORSÅS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46221</v>
      </c>
      <c r="F243" t="inlineStr">
        <is>
          <t>KALMAR LÄN</t>
        </is>
      </c>
      <c r="G243" t="inlineStr">
        <is>
          <t>TORSÅS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7969-2024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45350</v>
      </c>
      <c r="E244" s="1" t="n">
        <v>46221</v>
      </c>
      <c r="F244" t="inlineStr">
        <is>
          <t>KALMAR LÄN</t>
        </is>
      </c>
      <c r="G244" t="inlineStr">
        <is>
          <t>TORSÅS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46221</v>
      </c>
      <c r="F245" t="inlineStr">
        <is>
          <t>KALMAR LÄN</t>
        </is>
      </c>
      <c r="G245" t="inlineStr">
        <is>
          <t>TORSÅS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45329</v>
      </c>
      <c r="E246" s="1" t="n">
        <v>46221</v>
      </c>
      <c r="F246" t="inlineStr">
        <is>
          <t>KALMAR LÄN</t>
        </is>
      </c>
      <c r="G246" t="inlineStr">
        <is>
          <t>TORSÅS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46221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58346-2023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46221</v>
      </c>
      <c r="F248" t="inlineStr">
        <is>
          <t>KALMAR LÄN</t>
        </is>
      </c>
      <c r="G248" t="inlineStr">
        <is>
          <t>TORSÅS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9151-2023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46221</v>
      </c>
      <c r="F249" t="inlineStr">
        <is>
          <t>KALMAR LÄN</t>
        </is>
      </c>
      <c r="G249" t="inlineStr">
        <is>
          <t>TORSÅS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46221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46221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15485-2026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46221</v>
      </c>
      <c r="F252" t="inlineStr">
        <is>
          <t>KALMAR LÄN</t>
        </is>
      </c>
      <c r="G252" t="inlineStr">
        <is>
          <t>TORSÅS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33939-2022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44790</v>
      </c>
      <c r="E253" s="1" t="n">
        <v>46221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46221</v>
      </c>
      <c r="F254" t="inlineStr">
        <is>
          <t>KALMAR LÄN</t>
        </is>
      </c>
      <c r="G254" t="inlineStr">
        <is>
          <t>TORSÅS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46221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46221</v>
      </c>
      <c r="F256" t="inlineStr">
        <is>
          <t>KALMAR LÄN</t>
        </is>
      </c>
      <c r="G256" t="inlineStr">
        <is>
          <t>TORSÅS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43066-2024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45567</v>
      </c>
      <c r="E257" s="1" t="n">
        <v>46221</v>
      </c>
      <c r="F257" t="inlineStr">
        <is>
          <t>KALMAR LÄN</t>
        </is>
      </c>
      <c r="G257" t="inlineStr">
        <is>
          <t>TORSÅS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44910</v>
      </c>
      <c r="E258" s="1" t="n">
        <v>46221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46221</v>
      </c>
      <c r="F259" t="inlineStr">
        <is>
          <t>KALMAR LÄN</t>
        </is>
      </c>
      <c r="G259" t="inlineStr">
        <is>
          <t>TORSÅS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46221</v>
      </c>
      <c r="F260" t="inlineStr">
        <is>
          <t>KALMAR LÄN</t>
        </is>
      </c>
      <c r="G260" t="inlineStr">
        <is>
          <t>TORSÅS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46221</v>
      </c>
      <c r="F261" t="inlineStr">
        <is>
          <t>KALMAR LÄN</t>
        </is>
      </c>
      <c r="G261" t="inlineStr">
        <is>
          <t>TORSÅS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10472-2023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46221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62101-2021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46221</v>
      </c>
      <c r="F263" t="inlineStr">
        <is>
          <t>KALMAR LÄN</t>
        </is>
      </c>
      <c r="G263" t="inlineStr">
        <is>
          <t>TORSÅS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17223-2026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46119</v>
      </c>
      <c r="E264" s="1" t="n">
        <v>46221</v>
      </c>
      <c r="F264" t="inlineStr">
        <is>
          <t>KALMAR LÄN</t>
        </is>
      </c>
      <c r="G264" t="inlineStr">
        <is>
          <t>TORSÅS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46221</v>
      </c>
      <c r="F265" t="inlineStr">
        <is>
          <t>KALMAR LÄN</t>
        </is>
      </c>
      <c r="G265" t="inlineStr">
        <is>
          <t>TORSÅS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65159-2023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45288</v>
      </c>
      <c r="E266" s="1" t="n">
        <v>46221</v>
      </c>
      <c r="F266" t="inlineStr">
        <is>
          <t>KALMAR LÄN</t>
        </is>
      </c>
      <c r="G266" t="inlineStr">
        <is>
          <t>TORSÅS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17427-2026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46221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45016</v>
      </c>
      <c r="E268" s="1" t="n">
        <v>46221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32525-2024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45513</v>
      </c>
      <c r="E269" s="1" t="n">
        <v>46221</v>
      </c>
      <c r="F269" t="inlineStr">
        <is>
          <t>KALMAR LÄN</t>
        </is>
      </c>
      <c r="G269" t="inlineStr">
        <is>
          <t>TORSÅS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32532-2024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45513</v>
      </c>
      <c r="E270" s="1" t="n">
        <v>46221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21305-2024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45440</v>
      </c>
      <c r="E271" s="1" t="n">
        <v>46221</v>
      </c>
      <c r="F271" t="inlineStr">
        <is>
          <t>KALMAR LÄN</t>
        </is>
      </c>
      <c r="G271" t="inlineStr">
        <is>
          <t>TORSÅS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13074-2025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45734</v>
      </c>
      <c r="E272" s="1" t="n">
        <v>46221</v>
      </c>
      <c r="F272" t="inlineStr">
        <is>
          <t>KALMAR LÄN</t>
        </is>
      </c>
      <c r="G272" t="inlineStr">
        <is>
          <t>TORSÅS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46221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6819-2023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46221</v>
      </c>
      <c r="F274" t="inlineStr">
        <is>
          <t>KALMAR LÄN</t>
        </is>
      </c>
      <c r="G274" t="inlineStr">
        <is>
          <t>TORSÅS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46221</v>
      </c>
      <c r="F275" t="inlineStr">
        <is>
          <t>KALMAR LÄN</t>
        </is>
      </c>
      <c r="G275" t="inlineStr">
        <is>
          <t>TORSÅS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46221</v>
      </c>
      <c r="F276" t="inlineStr">
        <is>
          <t>KALMAR LÄN</t>
        </is>
      </c>
      <c r="G276" t="inlineStr">
        <is>
          <t>TORSÅS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46221</v>
      </c>
      <c r="F277" t="inlineStr">
        <is>
          <t>KALMAR LÄN</t>
        </is>
      </c>
      <c r="G277" t="inlineStr">
        <is>
          <t>TORSÅS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46221</v>
      </c>
      <c r="F278" t="inlineStr">
        <is>
          <t>KALMAR LÄN</t>
        </is>
      </c>
      <c r="G278" t="inlineStr">
        <is>
          <t>TORSÅS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13022-2026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46221</v>
      </c>
      <c r="F279" t="inlineStr">
        <is>
          <t>KALMAR LÄN</t>
        </is>
      </c>
      <c r="G279" t="inlineStr">
        <is>
          <t>TORSÅS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40046-2023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46221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40047-2023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46221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46221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70315-2021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46221</v>
      </c>
      <c r="F283" t="inlineStr">
        <is>
          <t>KALMAR LÄN</t>
        </is>
      </c>
      <c r="G283" t="inlineStr">
        <is>
          <t>TORSÅS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18437-2024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46221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13025-2026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46221</v>
      </c>
      <c r="F285" t="inlineStr">
        <is>
          <t>KALMAR LÄN</t>
        </is>
      </c>
      <c r="G285" t="inlineStr">
        <is>
          <t>TORSÅS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46221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46221</v>
      </c>
      <c r="F287" t="inlineStr">
        <is>
          <t>KALMAR LÄN</t>
        </is>
      </c>
      <c r="G287" t="inlineStr">
        <is>
          <t>TORSÅS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47004-2023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46221</v>
      </c>
      <c r="F288" t="inlineStr">
        <is>
          <t>KALMAR LÄN</t>
        </is>
      </c>
      <c r="G288" t="inlineStr">
        <is>
          <t>TORSÅS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21604-2023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46221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56311-2024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46221</v>
      </c>
      <c r="F290" t="inlineStr">
        <is>
          <t>KALMAR LÄN</t>
        </is>
      </c>
      <c r="G290" t="inlineStr">
        <is>
          <t>TORSÅS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16152-2023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45027</v>
      </c>
      <c r="E291" s="1" t="n">
        <v>46221</v>
      </c>
      <c r="F291" t="inlineStr">
        <is>
          <t>KALMAR LÄN</t>
        </is>
      </c>
      <c r="G291" t="inlineStr">
        <is>
          <t>TORSÅS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34636-2022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44795</v>
      </c>
      <c r="E292" s="1" t="n">
        <v>46221</v>
      </c>
      <c r="F292" t="inlineStr">
        <is>
          <t>KALMAR LÄN</t>
        </is>
      </c>
      <c r="G292" t="inlineStr">
        <is>
          <t>TORSÅS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46221</v>
      </c>
      <c r="F293" t="inlineStr">
        <is>
          <t>KALMAR LÄN</t>
        </is>
      </c>
      <c r="G293" t="inlineStr">
        <is>
          <t>TORSÅS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45556-2023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46221</v>
      </c>
      <c r="F294" t="inlineStr">
        <is>
          <t>KALMAR LÄN</t>
        </is>
      </c>
      <c r="G294" t="inlineStr">
        <is>
          <t>TORSÅS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45050</v>
      </c>
      <c r="E295" s="1" t="n">
        <v>46221</v>
      </c>
      <c r="F295" t="inlineStr">
        <is>
          <t>KALMAR LÄN</t>
        </is>
      </c>
      <c r="G295" t="inlineStr">
        <is>
          <t>TORSÅS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46221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46038-2023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46221</v>
      </c>
      <c r="F297" t="inlineStr">
        <is>
          <t>KALMAR LÄN</t>
        </is>
      </c>
      <c r="G297" t="inlineStr">
        <is>
          <t>TORSÅS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29999-2025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46221</v>
      </c>
      <c r="F298" t="inlineStr">
        <is>
          <t>KALMAR LÄN</t>
        </is>
      </c>
      <c r="G298" t="inlineStr">
        <is>
          <t>TORSÅS</t>
        </is>
      </c>
      <c r="I298" t="n">
        <v>15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46221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48546-2023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46221</v>
      </c>
      <c r="F300" t="inlineStr">
        <is>
          <t>KALMAR LÄN</t>
        </is>
      </c>
      <c r="G300" t="inlineStr">
        <is>
          <t>TORSÅS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46221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49330-2022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46221</v>
      </c>
      <c r="F302" t="inlineStr">
        <is>
          <t>KALMAR LÄN</t>
        </is>
      </c>
      <c r="G302" t="inlineStr">
        <is>
          <t>TORSÅS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49331-2022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46221</v>
      </c>
      <c r="F303" t="inlineStr">
        <is>
          <t>KALMAR LÄN</t>
        </is>
      </c>
      <c r="G303" t="inlineStr">
        <is>
          <t>TORSÅS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46221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23776-2022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46221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45690-2023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46221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47312-2025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46221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58804-2023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45252</v>
      </c>
      <c r="E308" s="1" t="n">
        <v>46221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46221</v>
      </c>
      <c r="F309" t="inlineStr">
        <is>
          <t>KALMAR LÄN</t>
        </is>
      </c>
      <c r="G309" t="inlineStr">
        <is>
          <t>TORSÅS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58439-2023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46221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38114-2023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46221</v>
      </c>
      <c r="F311" t="inlineStr">
        <is>
          <t>KALMAR LÄN</t>
        </is>
      </c>
      <c r="G311" t="inlineStr">
        <is>
          <t>TORSÅS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46221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45182</v>
      </c>
      <c r="E313" s="1" t="n">
        <v>46221</v>
      </c>
      <c r="F313" t="inlineStr">
        <is>
          <t>KALMAR LÄN</t>
        </is>
      </c>
      <c r="G313" t="inlineStr">
        <is>
          <t>TORSÅS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55967-2023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46221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45555-2023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46221</v>
      </c>
      <c r="F315" t="inlineStr">
        <is>
          <t>KALMAR LÄN</t>
        </is>
      </c>
      <c r="G315" t="inlineStr">
        <is>
          <t>TORSÅS</t>
        </is>
      </c>
      <c r="H315" t="inlineStr">
        <is>
          <t>Kommuner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46221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46221</v>
      </c>
      <c r="F317" t="inlineStr">
        <is>
          <t>KALMAR LÄN</t>
        </is>
      </c>
      <c r="G317" t="inlineStr">
        <is>
          <t>TORSÅS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46221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59017-2023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46221</v>
      </c>
      <c r="F319" t="inlineStr">
        <is>
          <t>KALMAR LÄN</t>
        </is>
      </c>
      <c r="G319" t="inlineStr">
        <is>
          <t>TORSÅS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46221</v>
      </c>
      <c r="F320" t="inlineStr">
        <is>
          <t>KALMAR LÄN</t>
        </is>
      </c>
      <c r="G320" t="inlineStr">
        <is>
          <t>TORSÅS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44741</v>
      </c>
      <c r="E321" s="1" t="n">
        <v>46221</v>
      </c>
      <c r="F321" t="inlineStr">
        <is>
          <t>KALMAR LÄN</t>
        </is>
      </c>
      <c r="G321" t="inlineStr">
        <is>
          <t>TORSÅS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46221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52594-2023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46221</v>
      </c>
      <c r="F323" t="inlineStr">
        <is>
          <t>KALMAR LÄN</t>
        </is>
      </c>
      <c r="G323" t="inlineStr">
        <is>
          <t>TORSÅS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51263-2023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46221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51274-2023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46221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51275-2023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46221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21577-2022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44706</v>
      </c>
      <c r="E327" s="1" t="n">
        <v>46221</v>
      </c>
      <c r="F327" t="inlineStr">
        <is>
          <t>KALMAR LÄN</t>
        </is>
      </c>
      <c r="G327" t="inlineStr">
        <is>
          <t>TORSÅS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55675-2021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44476</v>
      </c>
      <c r="E328" s="1" t="n">
        <v>46221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45330</v>
      </c>
      <c r="E329" s="1" t="n">
        <v>46221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39728-2024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45552</v>
      </c>
      <c r="E330" s="1" t="n">
        <v>46221</v>
      </c>
      <c r="F330" t="inlineStr">
        <is>
          <t>KALMAR LÄN</t>
        </is>
      </c>
      <c r="G330" t="inlineStr">
        <is>
          <t>TORSÅS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46221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64373-2023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46221</v>
      </c>
      <c r="F332" t="inlineStr">
        <is>
          <t>KALMAR LÄN</t>
        </is>
      </c>
      <c r="G332" t="inlineStr">
        <is>
          <t>TORSÅS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46221</v>
      </c>
      <c r="F333" t="inlineStr">
        <is>
          <t>KALMAR LÄN</t>
        </is>
      </c>
      <c r="G333" t="inlineStr">
        <is>
          <t>TORSÅS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46221</v>
      </c>
      <c r="F334" t="inlineStr">
        <is>
          <t>KALMAR LÄN</t>
        </is>
      </c>
      <c r="G334" t="inlineStr">
        <is>
          <t>TORSÅS</t>
        </is>
      </c>
      <c r="H334" t="inlineStr">
        <is>
          <t>Övriga Aktiebolag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45568-2023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46221</v>
      </c>
      <c r="F335" t="inlineStr">
        <is>
          <t>KALMAR LÄN</t>
        </is>
      </c>
      <c r="G335" t="inlineStr">
        <is>
          <t>TORSÅS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58038-2022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46221</v>
      </c>
      <c r="F336" t="inlineStr">
        <is>
          <t>KALMAR LÄN</t>
        </is>
      </c>
      <c r="G336" t="inlineStr">
        <is>
          <t>TORSÅS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35048-2023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46221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46221</v>
      </c>
      <c r="F338" t="inlineStr">
        <is>
          <t>KALMAR LÄN</t>
        </is>
      </c>
      <c r="G338" t="inlineStr">
        <is>
          <t>TORSÅS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46221</v>
      </c>
      <c r="F339" t="inlineStr">
        <is>
          <t>KALMAR LÄN</t>
        </is>
      </c>
      <c r="G339" t="inlineStr">
        <is>
          <t>TORSÅS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9676-2024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46221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45362</v>
      </c>
      <c r="E341" s="1" t="n">
        <v>46221</v>
      </c>
      <c r="F341" t="inlineStr">
        <is>
          <t>KALMAR LÄN</t>
        </is>
      </c>
      <c r="G341" t="inlineStr">
        <is>
          <t>TORSÅS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44879</v>
      </c>
      <c r="E342" s="1" t="n">
        <v>46221</v>
      </c>
      <c r="F342" t="inlineStr">
        <is>
          <t>KALMAR LÄN</t>
        </is>
      </c>
      <c r="G342" t="inlineStr">
        <is>
          <t>TORSÅS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42910-2025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46221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8479-2022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46221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44600</v>
      </c>
      <c r="E345" s="1" t="n">
        <v>46221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26711-2023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46221</v>
      </c>
      <c r="F346" t="inlineStr">
        <is>
          <t>KALMAR LÄN</t>
        </is>
      </c>
      <c r="G346" t="inlineStr">
        <is>
          <t>TORSÅS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26714-2023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46221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23088-2023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45075</v>
      </c>
      <c r="E348" s="1" t="n">
        <v>46221</v>
      </c>
      <c r="F348" t="inlineStr">
        <is>
          <t>KALMAR LÄN</t>
        </is>
      </c>
      <c r="G348" t="inlineStr">
        <is>
          <t>TORSÅS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8426-2023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46221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12240-2022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44637</v>
      </c>
      <c r="E350" s="1" t="n">
        <v>46221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45196</v>
      </c>
      <c r="E351" s="1" t="n">
        <v>46221</v>
      </c>
      <c r="F351" t="inlineStr">
        <is>
          <t>KALMAR LÄN</t>
        </is>
      </c>
      <c r="G351" t="inlineStr">
        <is>
          <t>TORSÅS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44657</v>
      </c>
      <c r="E352" s="1" t="n">
        <v>46221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58615-2023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46221</v>
      </c>
      <c r="F353" t="inlineStr">
        <is>
          <t>KALMAR LÄN</t>
        </is>
      </c>
      <c r="G353" t="inlineStr">
        <is>
          <t>TORSÅS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38521-2021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44407</v>
      </c>
      <c r="E354" s="1" t="n">
        <v>46221</v>
      </c>
      <c r="F354" t="inlineStr">
        <is>
          <t>KALMAR LÄN</t>
        </is>
      </c>
      <c r="G354" t="inlineStr">
        <is>
          <t>TORSÅS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29491-2026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46221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52659-2024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45610</v>
      </c>
      <c r="E356" s="1" t="n">
        <v>46221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44792</v>
      </c>
      <c r="E357" s="1" t="n">
        <v>46221</v>
      </c>
      <c r="F357" t="inlineStr">
        <is>
          <t>KALMAR LÄN</t>
        </is>
      </c>
      <c r="G357" t="inlineStr">
        <is>
          <t>TORSÅS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23035-2026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46221</v>
      </c>
      <c r="F358" t="inlineStr">
        <is>
          <t>KALMAR LÄN</t>
        </is>
      </c>
      <c r="G358" t="inlineStr">
        <is>
          <t>TORSÅS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46221</v>
      </c>
      <c r="F359" t="inlineStr">
        <is>
          <t>KALMAR LÄN</t>
        </is>
      </c>
      <c r="G359" t="inlineStr">
        <is>
          <t>TORSÅS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46221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18045-2023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46221</v>
      </c>
      <c r="F361" t="inlineStr">
        <is>
          <t>KALMAR LÄN</t>
        </is>
      </c>
      <c r="G361" t="inlineStr">
        <is>
          <t>TORSÅS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46221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18718-2024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46221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38847-2023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46221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46221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16409-2026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46221</v>
      </c>
      <c r="F366" t="inlineStr">
        <is>
          <t>KALMAR LÄN</t>
        </is>
      </c>
      <c r="G366" t="inlineStr">
        <is>
          <t>TORSÅS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46221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46221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46221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46221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46221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46221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46221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16411-2026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46221</v>
      </c>
      <c r="F374" t="inlineStr">
        <is>
          <t>KALMAR LÄN</t>
        </is>
      </c>
      <c r="G374" t="inlineStr">
        <is>
          <t>TORSÅS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24661-2025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46221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52252-2023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46221</v>
      </c>
      <c r="F376" t="inlineStr">
        <is>
          <t>KALMAR LÄN</t>
        </is>
      </c>
      <c r="G376" t="inlineStr">
        <is>
          <t>TORSÅS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46221</v>
      </c>
      <c r="F377" t="inlineStr">
        <is>
          <t>KALMAR LÄN</t>
        </is>
      </c>
      <c r="G377" t="inlineStr">
        <is>
          <t>TORSÅS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56317-2024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45624</v>
      </c>
      <c r="E378" s="1" t="n">
        <v>46221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34432-2023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46221</v>
      </c>
      <c r="F379" t="inlineStr">
        <is>
          <t>KALMAR LÄN</t>
        </is>
      </c>
      <c r="G379" t="inlineStr">
        <is>
          <t>TORSÅS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46221</v>
      </c>
      <c r="F380" t="inlineStr">
        <is>
          <t>KALMAR LÄN</t>
        </is>
      </c>
      <c r="G380" t="inlineStr">
        <is>
          <t>TORSÅS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24308-2026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46221</v>
      </c>
      <c r="F381" t="inlineStr">
        <is>
          <t>KALMAR LÄN</t>
        </is>
      </c>
      <c r="G381" t="inlineStr">
        <is>
          <t>TORSÅS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20714-2023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45058</v>
      </c>
      <c r="E382" s="1" t="n">
        <v>46221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45309</v>
      </c>
      <c r="E383" s="1" t="n">
        <v>46221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44883</v>
      </c>
      <c r="E384" s="1" t="n">
        <v>46221</v>
      </c>
      <c r="F384" t="inlineStr">
        <is>
          <t>KALMAR LÄN</t>
        </is>
      </c>
      <c r="G384" t="inlineStr">
        <is>
          <t>TORSÅS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9810-2025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46221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65157-2023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45288</v>
      </c>
      <c r="E386" s="1" t="n">
        <v>46221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9757-2023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46221</v>
      </c>
      <c r="F387" t="inlineStr">
        <is>
          <t>KALMAR LÄN</t>
        </is>
      </c>
      <c r="G387" t="inlineStr">
        <is>
          <t>TORSÅS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59129-2025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46221</v>
      </c>
      <c r="F388" t="inlineStr">
        <is>
          <t>KALMAR LÄN</t>
        </is>
      </c>
      <c r="G388" t="inlineStr">
        <is>
          <t>TORSÅS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46221</v>
      </c>
      <c r="F389" t="inlineStr">
        <is>
          <t>KALMAR LÄN</t>
        </is>
      </c>
      <c r="G389" t="inlineStr">
        <is>
          <t>TORSÅS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46221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56701-2025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45977</v>
      </c>
      <c r="E391" s="1" t="n">
        <v>46221</v>
      </c>
      <c r="F391" t="inlineStr">
        <is>
          <t>KALMAR LÄN</t>
        </is>
      </c>
      <c r="G391" t="inlineStr">
        <is>
          <t>TORSÅS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42897-2023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46221</v>
      </c>
      <c r="F392" t="inlineStr">
        <is>
          <t>KALMAR LÄN</t>
        </is>
      </c>
      <c r="G392" t="inlineStr">
        <is>
          <t>TORSÅS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31228-2026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46221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25075-2026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46221</v>
      </c>
      <c r="F394" t="inlineStr">
        <is>
          <t>KALMAR LÄN</t>
        </is>
      </c>
      <c r="G394" t="inlineStr">
        <is>
          <t>TORSÅS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25072-2026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46174</v>
      </c>
      <c r="E395" s="1" t="n">
        <v>46221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31255-2026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46221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31256-2026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46221</v>
      </c>
      <c r="F397" t="inlineStr">
        <is>
          <t>KALMAR LÄN</t>
        </is>
      </c>
      <c r="G397" t="inlineStr">
        <is>
          <t>TORSÅS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52072-2023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45223</v>
      </c>
      <c r="E398" s="1" t="n">
        <v>46221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25070-2026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46221</v>
      </c>
      <c r="F399" t="inlineStr">
        <is>
          <t>KALMAR LÄN</t>
        </is>
      </c>
      <c r="G399" t="inlineStr">
        <is>
          <t>TORSÅS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46221</v>
      </c>
      <c r="F400" t="inlineStr">
        <is>
          <t>KALMAR LÄN</t>
        </is>
      </c>
      <c r="G400" t="inlineStr">
        <is>
          <t>TORSÅS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42912-2023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46221</v>
      </c>
      <c r="F401" t="inlineStr">
        <is>
          <t>KALMAR LÄN</t>
        </is>
      </c>
      <c r="G401" t="inlineStr">
        <is>
          <t>TORSÅS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16446-2022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46221</v>
      </c>
      <c r="F402" t="inlineStr">
        <is>
          <t>KALMAR LÄN</t>
        </is>
      </c>
      <c r="G402" t="inlineStr">
        <is>
          <t>TORSÅS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46221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23963-2026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46221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23974-2026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46221</v>
      </c>
      <c r="F405" t="inlineStr">
        <is>
          <t>KALMAR LÄN</t>
        </is>
      </c>
      <c r="G405" t="inlineStr">
        <is>
          <t>TORSÅS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14362-2023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46221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46221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45447</v>
      </c>
      <c r="E408" s="1" t="n">
        <v>46221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33144-2024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45518</v>
      </c>
      <c r="E409" s="1" t="n">
        <v>46221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45736</v>
      </c>
      <c r="E410" s="1" t="n">
        <v>46221</v>
      </c>
      <c r="F410" t="inlineStr">
        <is>
          <t>KALMAR LÄN</t>
        </is>
      </c>
      <c r="G410" t="inlineStr">
        <is>
          <t>TORSÅS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51647-2023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46221</v>
      </c>
      <c r="F411" t="inlineStr">
        <is>
          <t>KALMAR LÄN</t>
        </is>
      </c>
      <c r="G411" t="inlineStr">
        <is>
          <t>TORSÅS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16263-2024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45407</v>
      </c>
      <c r="E412" s="1" t="n">
        <v>46221</v>
      </c>
      <c r="F412" t="inlineStr">
        <is>
          <t>KALMAR LÄN</t>
        </is>
      </c>
      <c r="G412" t="inlineStr">
        <is>
          <t>TORSÅS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48526-2023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46221</v>
      </c>
      <c r="F413" t="inlineStr">
        <is>
          <t>KALMAR LÄN</t>
        </is>
      </c>
      <c r="G413" t="inlineStr">
        <is>
          <t>TORSÅS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46221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45001</v>
      </c>
      <c r="E415" s="1" t="n">
        <v>46221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12957-2023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45001</v>
      </c>
      <c r="E416" s="1" t="n">
        <v>46221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46221</v>
      </c>
      <c r="F417" t="inlineStr">
        <is>
          <t>KALMAR LÄN</t>
        </is>
      </c>
      <c r="G417" t="inlineStr">
        <is>
          <t>TORSÅS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27268-2023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46221</v>
      </c>
      <c r="F418" t="inlineStr">
        <is>
          <t>KALMAR LÄN</t>
        </is>
      </c>
      <c r="G418" t="inlineStr">
        <is>
          <t>TORSÅS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19943-2023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46221</v>
      </c>
      <c r="F419" t="inlineStr">
        <is>
          <t>KALMAR LÄN</t>
        </is>
      </c>
      <c r="G419" t="inlineStr">
        <is>
          <t>TORSÅS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61260-2024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46221</v>
      </c>
      <c r="F420" t="inlineStr">
        <is>
          <t>KALMAR LÄN</t>
        </is>
      </c>
      <c r="G420" t="inlineStr">
        <is>
          <t>TORSÅS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19648-2025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46221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15749-2024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45404</v>
      </c>
      <c r="E422" s="1" t="n">
        <v>46221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16498-2024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46221</v>
      </c>
      <c r="F423" t="inlineStr">
        <is>
          <t>KALMAR LÄN</t>
        </is>
      </c>
      <c r="G423" t="inlineStr">
        <is>
          <t>TORSÅS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46626-2024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46221</v>
      </c>
      <c r="F424" t="inlineStr">
        <is>
          <t>KALMAR LÄN</t>
        </is>
      </c>
      <c r="G424" t="inlineStr">
        <is>
          <t>TORSÅS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45694</v>
      </c>
      <c r="E425" s="1" t="n">
        <v>46221</v>
      </c>
      <c r="F425" t="inlineStr">
        <is>
          <t>KALMAR LÄN</t>
        </is>
      </c>
      <c r="G425" t="inlineStr">
        <is>
          <t>TORSÅS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27507-2024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46221</v>
      </c>
      <c r="F426" t="inlineStr">
        <is>
          <t>KALMAR LÄN</t>
        </is>
      </c>
      <c r="G426" t="inlineStr">
        <is>
          <t>TORSÅS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9124-2025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45713</v>
      </c>
      <c r="E427" s="1" t="n">
        <v>46221</v>
      </c>
      <c r="F427" t="inlineStr">
        <is>
          <t>KALMAR LÄN</t>
        </is>
      </c>
      <c r="G427" t="inlineStr">
        <is>
          <t>TORSÅS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46221</v>
      </c>
      <c r="F428" t="inlineStr">
        <is>
          <t>KALMAR LÄN</t>
        </is>
      </c>
      <c r="G428" t="inlineStr">
        <is>
          <t>TORSÅS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44986</v>
      </c>
      <c r="E429" s="1" t="n">
        <v>46221</v>
      </c>
      <c r="F429" t="inlineStr">
        <is>
          <t>KALMAR LÄN</t>
        </is>
      </c>
      <c r="G429" t="inlineStr">
        <is>
          <t>TORSÅS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46221</v>
      </c>
      <c r="F430" t="inlineStr">
        <is>
          <t>KALMAR LÄN</t>
        </is>
      </c>
      <c r="G430" t="inlineStr">
        <is>
          <t>TORSÅS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27504-2024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46221</v>
      </c>
      <c r="F431" t="inlineStr">
        <is>
          <t>KALMAR LÄN</t>
        </is>
      </c>
      <c r="G431" t="inlineStr">
        <is>
          <t>TORSÅS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14366-2023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45012</v>
      </c>
      <c r="E432" s="1" t="n">
        <v>46221</v>
      </c>
      <c r="F432" t="inlineStr">
        <is>
          <t>KALMAR LÄN</t>
        </is>
      </c>
      <c r="G432" t="inlineStr">
        <is>
          <t>TORSÅS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45785</v>
      </c>
      <c r="E433" s="1" t="n">
        <v>46221</v>
      </c>
      <c r="F433" t="inlineStr">
        <is>
          <t>KALMAR LÄN</t>
        </is>
      </c>
      <c r="G433" t="inlineStr">
        <is>
          <t>TORSÅS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61105-2024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46221</v>
      </c>
      <c r="F434" t="inlineStr">
        <is>
          <t>KALMAR LÄN</t>
        </is>
      </c>
      <c r="G434" t="inlineStr">
        <is>
          <t>TORSÅS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17523-2022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44679</v>
      </c>
      <c r="E435" s="1" t="n">
        <v>46221</v>
      </c>
      <c r="F435" t="inlineStr">
        <is>
          <t>KALMAR LÄN</t>
        </is>
      </c>
      <c r="G435" t="inlineStr">
        <is>
          <t>TORSÅS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45330</v>
      </c>
      <c r="E436" s="1" t="n">
        <v>46221</v>
      </c>
      <c r="F436" t="inlineStr">
        <is>
          <t>KALMAR LÄN</t>
        </is>
      </c>
      <c r="G436" t="inlineStr">
        <is>
          <t>TORSÅS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34956-2024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46221</v>
      </c>
      <c r="F437" t="inlineStr">
        <is>
          <t>KALMAR LÄN</t>
        </is>
      </c>
      <c r="G437" t="inlineStr">
        <is>
          <t>TORSÅS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46221</v>
      </c>
      <c r="F438" t="inlineStr">
        <is>
          <t>KALMAR LÄN</t>
        </is>
      </c>
      <c r="G438" t="inlineStr">
        <is>
          <t>TORSÅS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46221</v>
      </c>
      <c r="F439" t="inlineStr">
        <is>
          <t>KALMAR LÄN</t>
        </is>
      </c>
      <c r="G439" t="inlineStr">
        <is>
          <t>TORSÅS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46221</v>
      </c>
      <c r="F440" t="inlineStr">
        <is>
          <t>KALMAR LÄN</t>
        </is>
      </c>
      <c r="G440" t="inlineStr">
        <is>
          <t>TORSÅS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46221</v>
      </c>
      <c r="F441" t="inlineStr">
        <is>
          <t>KALMAR LÄN</t>
        </is>
      </c>
      <c r="G441" t="inlineStr">
        <is>
          <t>TORSÅS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45488</v>
      </c>
      <c r="E442" s="1" t="n">
        <v>46221</v>
      </c>
      <c r="F442" t="inlineStr">
        <is>
          <t>KALMAR LÄN</t>
        </is>
      </c>
      <c r="G442" t="inlineStr">
        <is>
          <t>TORSÅS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1824-2022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44658</v>
      </c>
      <c r="E443" s="1" t="n">
        <v>46221</v>
      </c>
      <c r="F443" t="inlineStr">
        <is>
          <t>KALMAR LÄN</t>
        </is>
      </c>
      <c r="G443" t="inlineStr">
        <is>
          <t>TORSÅS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3937-2023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45235</v>
      </c>
      <c r="E444" s="1" t="n">
        <v>46221</v>
      </c>
      <c r="F444" t="inlineStr">
        <is>
          <t>KALMAR LÄN</t>
        </is>
      </c>
      <c r="G444" t="inlineStr">
        <is>
          <t>TORSÅS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221-2024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45316</v>
      </c>
      <c r="E445" s="1" t="n">
        <v>46221</v>
      </c>
      <c r="F445" t="inlineStr">
        <is>
          <t>KALMAR LÄN</t>
        </is>
      </c>
      <c r="G445" t="inlineStr">
        <is>
          <t>TORSÅS</t>
        </is>
      </c>
      <c r="I445" t="n">
        <v>17.6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3287-2024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45527</v>
      </c>
      <c r="E446" s="1" t="n">
        <v>46221</v>
      </c>
      <c r="F446" t="inlineStr">
        <is>
          <t>KALMAR LÄN</t>
        </is>
      </c>
      <c r="G446" t="inlineStr">
        <is>
          <t>TORSÅS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1844-2024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46221</v>
      </c>
      <c r="F447" t="inlineStr">
        <is>
          <t>KALMAR LÄN</t>
        </is>
      </c>
      <c r="G447" t="inlineStr">
        <is>
          <t>TORSÅS</t>
        </is>
      </c>
      <c r="I447" t="n">
        <v>15.7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46221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46221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46221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46221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46221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46221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46221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46221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46221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46221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46221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46221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46221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46221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46221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46221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46221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46221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46221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46221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2026-07-18T01:19:14Z</dcterms:created>
  <dcterms:modified xmlns:dcterms="http://purl.org/dc/terms/" xmlns:xsi="http://www.w3.org/2001/XMLSchema-instance" xsi:type="dcterms:W3CDTF">2026-07-18T01:19:15Z</dcterms:modified>
</cp:coreProperties>
</file>