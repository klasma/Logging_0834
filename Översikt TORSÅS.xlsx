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46299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46299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46299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46299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46299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46299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46299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46299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46299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46299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46299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46299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46299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46299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46299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46299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46299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46299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46299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46299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46299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46299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46299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46299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2667-2022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46299</v>
      </c>
      <c r="F26" t="inlineStr">
        <is>
          <t>KALMAR LÄN</t>
        </is>
      </c>
      <c r="G26" t="inlineStr">
        <is>
          <t>TORSÅS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2667-2022 artfynd.xlsx", "A 2667-2022")</f>
        <v/>
      </c>
      <c r="X26">
        <f>HYPERLINK("https://klasma.github.io/Logging_0834/kartor/A 2667-2022 karta.png", "A 2667-2022")</f>
        <v/>
      </c>
      <c r="Y26">
        <f>HYPERLINK("https://klasma.github.io/Logging_0834/kartor_geotiff/A 2667-2022 georefererad karta.tif", "A 2667-2022")</f>
        <v/>
      </c>
      <c r="AA26">
        <f>HYPERLINK("https://klasma.github.io/Logging_0834/klagomål/A 2667-2022 FSC-klagomål.docx", "A 2667-2022")</f>
        <v/>
      </c>
      <c r="AB26">
        <f>HYPERLINK("https://klasma.github.io/Logging_0834/klagomålsmail/A 2667-2022 FSC-klagomål mail.docx", "A 2667-2022")</f>
        <v/>
      </c>
      <c r="AC26">
        <f>HYPERLINK("https://klasma.github.io/Logging_0834/tillsyn/A 2667-2022 tillsynsbegäran.docx", "A 2667-2022")</f>
        <v/>
      </c>
      <c r="AD26">
        <f>HYPERLINK("https://klasma.github.io/Logging_0834/tillsynsmail/A 2667-2022 tillsynsbegäran mail.docx", "A 2667-2022")</f>
        <v/>
      </c>
    </row>
    <row r="27" ht="15" customHeight="1">
      <c r="A27" t="inlineStr">
        <is>
          <t>A 15376-2023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46299</v>
      </c>
      <c r="F27" t="inlineStr">
        <is>
          <t>KALMAR LÄN</t>
        </is>
      </c>
      <c r="G27" t="inlineStr">
        <is>
          <t>TORSÅS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Långbensgroda</t>
        </is>
      </c>
      <c r="W27">
        <f>HYPERLINK("https://klasma.github.io/Logging_0834/artfynd/A 15376-2023 artfynd.xlsx", "A 15376-2023")</f>
        <v/>
      </c>
      <c r="X27">
        <f>HYPERLINK("https://klasma.github.io/Logging_0834/kartor/A 15376-2023 karta.png", "A 15376-2023")</f>
        <v/>
      </c>
      <c r="Y27">
        <f>HYPERLINK("https://klasma.github.io/Logging_0834/kartor_geotiff/A 15376-2023 georefererad karta.tif", "A 15376-2023")</f>
        <v/>
      </c>
      <c r="AA27">
        <f>HYPERLINK("https://klasma.github.io/Logging_0834/klagomål/A 15376-2023 FSC-klagomål.docx", "A 15376-2023")</f>
        <v/>
      </c>
      <c r="AB27">
        <f>HYPERLINK("https://klasma.github.io/Logging_0834/klagomålsmail/A 15376-2023 FSC-klagomål mail.docx", "A 15376-2023")</f>
        <v/>
      </c>
      <c r="AC27">
        <f>HYPERLINK("https://klasma.github.io/Logging_0834/tillsyn/A 15376-2023 tillsynsbegäran.docx", "A 15376-2023")</f>
        <v/>
      </c>
      <c r="AD27">
        <f>HYPERLINK("https://klasma.github.io/Logging_0834/tillsynsmail/A 15376-2023 tillsynsbegäran mail.docx", "A 15376-2023")</f>
        <v/>
      </c>
    </row>
    <row r="28" ht="15" customHeight="1">
      <c r="A28" t="inlineStr">
        <is>
          <t>A 59361-2023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45253</v>
      </c>
      <c r="E28" s="1" t="n">
        <v>46299</v>
      </c>
      <c r="F28" t="inlineStr">
        <is>
          <t>KALMAR LÄN</t>
        </is>
      </c>
      <c r="G28" t="inlineStr">
        <is>
          <t>TORSÅS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Murgröna</t>
        </is>
      </c>
      <c r="W28">
        <f>HYPERLINK("https://klasma.github.io/Logging_0834/artfynd/A 59361-2023 artfynd.xlsx", "A 59361-2023")</f>
        <v/>
      </c>
      <c r="X28">
        <f>HYPERLINK("https://klasma.github.io/Logging_0834/kartor/A 59361-2023 karta.png", "A 59361-2023")</f>
        <v/>
      </c>
      <c r="Y28">
        <f>HYPERLINK("https://klasma.github.io/Logging_0834/kartor_geotiff/A 59361-2023 georefererad karta.tif", "A 59361-2023")</f>
        <v/>
      </c>
      <c r="AA28">
        <f>HYPERLINK("https://klasma.github.io/Logging_0834/klagomål/A 59361-2023 FSC-klagomål.docx", "A 59361-2023")</f>
        <v/>
      </c>
      <c r="AB28">
        <f>HYPERLINK("https://klasma.github.io/Logging_0834/klagomålsmail/A 59361-2023 FSC-klagomål mail.docx", "A 59361-2023")</f>
        <v/>
      </c>
      <c r="AC28">
        <f>HYPERLINK("https://klasma.github.io/Logging_0834/tillsyn/A 59361-2023 tillsynsbegäran.docx", "A 59361-2023")</f>
        <v/>
      </c>
      <c r="AD28">
        <f>HYPERLINK("https://klasma.github.io/Logging_0834/tillsynsmail/A 59361-2023 tillsynsbegäran mail.docx", "A 59361-2023")</f>
        <v/>
      </c>
    </row>
    <row r="29" ht="15" customHeight="1">
      <c r="A29" t="inlineStr">
        <is>
          <t>A 36625-2022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46299</v>
      </c>
      <c r="F29" t="inlineStr">
        <is>
          <t>KALMAR LÄN</t>
        </is>
      </c>
      <c r="G29" t="inlineStr">
        <is>
          <t>TORSÅS</t>
        </is>
      </c>
      <c r="I29" t="n">
        <v>7.5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revmossa</t>
        </is>
      </c>
      <c r="W29">
        <f>HYPERLINK("https://klasma.github.io/Logging_0834/artfynd/A 36625-2022 artfynd.xlsx", "A 36625-2022")</f>
        <v/>
      </c>
      <c r="X29">
        <f>HYPERLINK("https://klasma.github.io/Logging_0834/kartor/A 36625-2022 karta.png", "A 36625-2022")</f>
        <v/>
      </c>
      <c r="Y29">
        <f>HYPERLINK("https://klasma.github.io/Logging_0834/kartor_geotiff/A 36625-2022 georefererad karta.tif", "A 36625-2022")</f>
        <v/>
      </c>
      <c r="AA29">
        <f>HYPERLINK("https://klasma.github.io/Logging_0834/klagomål/A 36625-2022 FSC-klagomål.docx", "A 36625-2022")</f>
        <v/>
      </c>
      <c r="AB29">
        <f>HYPERLINK("https://klasma.github.io/Logging_0834/klagomålsmail/A 36625-2022 FSC-klagomål mail.docx", "A 36625-2022")</f>
        <v/>
      </c>
      <c r="AC29">
        <f>HYPERLINK("https://klasma.github.io/Logging_0834/tillsyn/A 36625-2022 tillsynsbegäran.docx", "A 36625-2022")</f>
        <v/>
      </c>
      <c r="AD29">
        <f>HYPERLINK("https://klasma.github.io/Logging_0834/tillsynsmail/A 36625-2022 tillsynsbegäran mail.docx", "A 36625-2022")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46299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44226-2024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46299</v>
      </c>
      <c r="F31" t="inlineStr">
        <is>
          <t>KALMAR LÄN</t>
        </is>
      </c>
      <c r="G31" t="inlineStr">
        <is>
          <t>TORSÅS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HYPERLINK("https://klasma.github.io/Logging_0834/artfynd/A 44226-2024 artfynd.xlsx", "A 44226-2024")</f>
        <v/>
      </c>
      <c r="X31">
        <f>HYPERLINK("https://klasma.github.io/Logging_0834/kartor/A 44226-2024 karta.png", "A 44226-2024")</f>
        <v/>
      </c>
      <c r="Y31">
        <f>HYPERLINK("https://klasma.github.io/Logging_0834/kartor_geotiff/A 44226-2024 georefererad karta.tif", "A 44226-2024")</f>
        <v/>
      </c>
      <c r="AA31">
        <f>HYPERLINK("https://klasma.github.io/Logging_0834/klagomål/A 44226-2024 FSC-klagomål.docx", "A 44226-2024")</f>
        <v/>
      </c>
      <c r="AB31">
        <f>HYPERLINK("https://klasma.github.io/Logging_0834/klagomålsmail/A 44226-2024 FSC-klagomål mail.docx", "A 44226-2024")</f>
        <v/>
      </c>
      <c r="AC31">
        <f>HYPERLINK("https://klasma.github.io/Logging_0834/tillsyn/A 44226-2024 tillsynsbegäran.docx", "A 44226-2024")</f>
        <v/>
      </c>
      <c r="AD31">
        <f>HYPERLINK("https://klasma.github.io/Logging_0834/tillsynsmail/A 44226-2024 tillsynsbegäran mail.docx", "A 44226-2024")</f>
        <v/>
      </c>
    </row>
    <row r="32" ht="15" customHeight="1">
      <c r="A32" t="inlineStr">
        <is>
          <t>A 6611-2026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46299</v>
      </c>
      <c r="F32" t="inlineStr">
        <is>
          <t>KALMAR LÄN</t>
        </is>
      </c>
      <c r="G32" t="inlineStr">
        <is>
          <t>TORSÅS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6611-2026 artfynd.xlsx", "A 6611-2026")</f>
        <v/>
      </c>
      <c r="X32">
        <f>HYPERLINK("https://klasma.github.io/Logging_0834/kartor/A 6611-2026 karta.png", "A 6611-2026")</f>
        <v/>
      </c>
      <c r="Y32">
        <f>HYPERLINK("https://klasma.github.io/Logging_0834/kartor_geotiff/A 6611-2026 georefererad karta.tif", "A 6611-2026")</f>
        <v/>
      </c>
      <c r="AA32">
        <f>HYPERLINK("https://klasma.github.io/Logging_0834/klagomål/A 6611-2026 FSC-klagomål.docx", "A 6611-2026")</f>
        <v/>
      </c>
      <c r="AB32">
        <f>HYPERLINK("https://klasma.github.io/Logging_0834/klagomålsmail/A 6611-2026 FSC-klagomål mail.docx", "A 6611-2026")</f>
        <v/>
      </c>
      <c r="AC32">
        <f>HYPERLINK("https://klasma.github.io/Logging_0834/tillsyn/A 6611-2026 tillsynsbegäran.docx", "A 6611-2026")</f>
        <v/>
      </c>
      <c r="AD32">
        <f>HYPERLINK("https://klasma.github.io/Logging_0834/tillsynsmail/A 6611-2026 tillsynsbegäran mail.docx", "A 6611-2026")</f>
        <v/>
      </c>
    </row>
    <row r="33" ht="15" customHeight="1">
      <c r="A33" t="inlineStr">
        <is>
          <t>A 24157-2023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45079</v>
      </c>
      <c r="E33" s="1" t="n">
        <v>46299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Grovticka</t>
        </is>
      </c>
      <c r="W33">
        <f>HYPERLINK("https://klasma.github.io/Logging_0834/artfynd/A 24157-2023 artfynd.xlsx", "A 24157-2023")</f>
        <v/>
      </c>
      <c r="X33">
        <f>HYPERLINK("https://klasma.github.io/Logging_0834/kartor/A 24157-2023 karta.png", "A 24157-2023")</f>
        <v/>
      </c>
      <c r="Y33">
        <f>HYPERLINK("https://klasma.github.io/Logging_0834/kartor_geotiff/A 24157-2023 georefererad karta.tif", "A 24157-2023")</f>
        <v/>
      </c>
      <c r="AA33">
        <f>HYPERLINK("https://klasma.github.io/Logging_0834/klagomål/A 24157-2023 FSC-klagomål.docx", "A 24157-2023")</f>
        <v/>
      </c>
      <c r="AB33">
        <f>HYPERLINK("https://klasma.github.io/Logging_0834/klagomålsmail/A 24157-2023 FSC-klagomål mail.docx", "A 24157-2023")</f>
        <v/>
      </c>
      <c r="AC33">
        <f>HYPERLINK("https://klasma.github.io/Logging_0834/tillsyn/A 24157-2023 tillsynsbegäran.docx", "A 24157-2023")</f>
        <v/>
      </c>
      <c r="AD33">
        <f>HYPERLINK("https://klasma.github.io/Logging_0834/tillsynsmail/A 24157-2023 tillsynsbegäran mail.docx", "A 24157-2023")</f>
        <v/>
      </c>
    </row>
    <row r="34" ht="15" customHeight="1">
      <c r="A34" t="inlineStr">
        <is>
          <t>A 11606-2026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46084</v>
      </c>
      <c r="E34" s="1" t="n">
        <v>46299</v>
      </c>
      <c r="F34" t="inlineStr">
        <is>
          <t>KALMAR LÄN</t>
        </is>
      </c>
      <c r="G34" t="inlineStr">
        <is>
          <t>TORSÅS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HYPERLINK("https://klasma.github.io/Logging_0834/artfynd/A 11606-2026 artfynd.xlsx", "A 11606-2026")</f>
        <v/>
      </c>
      <c r="X34">
        <f>HYPERLINK("https://klasma.github.io/Logging_0834/kartor/A 11606-2026 karta.png", "A 11606-2026")</f>
        <v/>
      </c>
      <c r="Y34">
        <f>HYPERLINK("https://klasma.github.io/Logging_0834/kartor_geotiff/A 11606-2026 georefererad karta.tif", "A 11606-2026")</f>
        <v/>
      </c>
      <c r="AA34">
        <f>HYPERLINK("https://klasma.github.io/Logging_0834/klagomål/A 11606-2026 FSC-klagomål.docx", "A 11606-2026")</f>
        <v/>
      </c>
      <c r="AB34">
        <f>HYPERLINK("https://klasma.github.io/Logging_0834/klagomålsmail/A 11606-2026 FSC-klagomål mail.docx", "A 11606-2026")</f>
        <v/>
      </c>
      <c r="AC34">
        <f>HYPERLINK("https://klasma.github.io/Logging_0834/tillsyn/A 11606-2026 tillsynsbegäran.docx", "A 11606-2026")</f>
        <v/>
      </c>
      <c r="AD34">
        <f>HYPERLINK("https://klasma.github.io/Logging_0834/tillsynsmail/A 11606-2026 tillsynsbegäran mail.docx", "A 11606-2026")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46299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16467-2026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46299</v>
      </c>
      <c r="F36" t="inlineStr">
        <is>
          <t>KALMAR LÄN</t>
        </is>
      </c>
      <c r="G36" t="inlineStr">
        <is>
          <t>TORSÅS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HYPERLINK("https://klasma.github.io/Logging_0834/artfynd/A 16467-2026 artfynd.xlsx", "A 16467-2026")</f>
        <v/>
      </c>
      <c r="X36">
        <f>HYPERLINK("https://klasma.github.io/Logging_0834/kartor/A 16467-2026 karta.png", "A 16467-2026")</f>
        <v/>
      </c>
      <c r="Y36">
        <f>HYPERLINK("https://klasma.github.io/Logging_0834/kartor_geotiff/A 16467-2026 georefererad karta.tif", "A 16467-2026")</f>
        <v/>
      </c>
      <c r="AA36">
        <f>HYPERLINK("https://klasma.github.io/Logging_0834/klagomål/A 16467-2026 FSC-klagomål.docx", "A 16467-2026")</f>
        <v/>
      </c>
      <c r="AB36">
        <f>HYPERLINK("https://klasma.github.io/Logging_0834/klagomålsmail/A 16467-2026 FSC-klagomål mail.docx", "A 16467-2026")</f>
        <v/>
      </c>
      <c r="AC36">
        <f>HYPERLINK("https://klasma.github.io/Logging_0834/tillsyn/A 16467-2026 tillsynsbegäran.docx", "A 16467-2026")</f>
        <v/>
      </c>
      <c r="AD36">
        <f>HYPERLINK("https://klasma.github.io/Logging_0834/tillsynsmail/A 16467-2026 tillsynsbegäran mail.docx", "A 16467-2026")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46299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35715-2026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46265</v>
      </c>
      <c r="E38" s="1" t="n">
        <v>46299</v>
      </c>
      <c r="F38" t="inlineStr">
        <is>
          <t>KALMAR LÄN</t>
        </is>
      </c>
      <c r="G38" t="inlineStr">
        <is>
          <t>TORSÅS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HYPERLINK("https://klasma.github.io/Logging_0834/artfynd/A 35715-2026 artfynd.xlsx", "A 35715-2026")</f>
        <v/>
      </c>
      <c r="X38">
        <f>HYPERLINK("https://klasma.github.io/Logging_0834/kartor/A 35715-2026 karta.png", "A 35715-2026")</f>
        <v/>
      </c>
      <c r="Y38">
        <f>HYPERLINK("https://klasma.github.io/Logging_0834/kartor_geotiff/A 35715-2026 georefererad karta.tif", "A 35715-2026")</f>
        <v/>
      </c>
      <c r="AA38">
        <f>HYPERLINK("https://klasma.github.io/Logging_0834/klagomål/A 35715-2026 FSC-klagomål.docx", "A 35715-2026")</f>
        <v/>
      </c>
      <c r="AB38">
        <f>HYPERLINK("https://klasma.github.io/Logging_0834/klagomålsmail/A 35715-2026 FSC-klagomål mail.docx", "A 35715-2026")</f>
        <v/>
      </c>
      <c r="AC38">
        <f>HYPERLINK("https://klasma.github.io/Logging_0834/tillsyn/A 35715-2026 tillsynsbegäran.docx", "A 35715-2026")</f>
        <v/>
      </c>
      <c r="AD38">
        <f>HYPERLINK("https://klasma.github.io/Logging_0834/tillsynsmail/A 35715-2026 tillsynsbegäran mail.docx", "A 35715-2026")</f>
        <v/>
      </c>
    </row>
    <row r="39" ht="15" customHeight="1">
      <c r="A39" t="inlineStr">
        <is>
          <t>A 2132-2025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45672</v>
      </c>
      <c r="E39" s="1" t="n">
        <v>46299</v>
      </c>
      <c r="F39" t="inlineStr">
        <is>
          <t>KALMAR LÄN</t>
        </is>
      </c>
      <c r="G39" t="inlineStr">
        <is>
          <t>TORSÅS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Krusfrö</t>
        </is>
      </c>
      <c r="W39">
        <f>HYPERLINK("https://klasma.github.io/Logging_0834/artfynd/A 2132-2025 artfynd.xlsx", "A 2132-2025")</f>
        <v/>
      </c>
      <c r="X39">
        <f>HYPERLINK("https://klasma.github.io/Logging_0834/kartor/A 2132-2025 karta.png", "A 2132-2025")</f>
        <v/>
      </c>
      <c r="Y39">
        <f>HYPERLINK("https://klasma.github.io/Logging_0834/kartor_geotiff/A 2132-2025 georefererad karta.tif", "A 2132-2025")</f>
        <v/>
      </c>
      <c r="AA39">
        <f>HYPERLINK("https://klasma.github.io/Logging_0834/klagomål/A 2132-2025 FSC-klagomål.docx", "A 2132-2025")</f>
        <v/>
      </c>
      <c r="AB39">
        <f>HYPERLINK("https://klasma.github.io/Logging_0834/klagomålsmail/A 2132-2025 FSC-klagomål mail.docx", "A 2132-2025")</f>
        <v/>
      </c>
      <c r="AC39">
        <f>HYPERLINK("https://klasma.github.io/Logging_0834/tillsyn/A 2132-2025 tillsynsbegäran.docx", "A 2132-2025")</f>
        <v/>
      </c>
      <c r="AD39">
        <f>HYPERLINK("https://klasma.github.io/Logging_0834/tillsynsmail/A 2132-2025 tillsynsbegäran mail.docx", "A 2132-2025")</f>
        <v/>
      </c>
    </row>
    <row r="40" ht="15" customHeight="1">
      <c r="A40" t="inlineStr">
        <is>
          <t>A 5755-2022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46299</v>
      </c>
      <c r="F40" t="inlineStr">
        <is>
          <t>KALMAR LÄN</t>
        </is>
      </c>
      <c r="G40" t="inlineStr">
        <is>
          <t>TORSÅS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HYPERLINK("https://klasma.github.io/Logging_0834/artfynd/A 5755-2022 artfynd.xlsx", "A 5755-2022")</f>
        <v/>
      </c>
      <c r="X40">
        <f>HYPERLINK("https://klasma.github.io/Logging_0834/kartor/A 5755-2022 karta.png", "A 5755-2022")</f>
        <v/>
      </c>
      <c r="Y40">
        <f>HYPERLINK("https://klasma.github.io/Logging_0834/kartor_geotiff/A 5755-2022 georefererad karta.tif", "A 5755-2022")</f>
        <v/>
      </c>
      <c r="AA40">
        <f>HYPERLINK("https://klasma.github.io/Logging_0834/klagomål/A 5755-2022 FSC-klagomål.docx", "A 5755-2022")</f>
        <v/>
      </c>
      <c r="AB40">
        <f>HYPERLINK("https://klasma.github.io/Logging_0834/klagomålsmail/A 5755-2022 FSC-klagomål mail.docx", "A 5755-2022")</f>
        <v/>
      </c>
      <c r="AC40">
        <f>HYPERLINK("https://klasma.github.io/Logging_0834/tillsyn/A 5755-2022 tillsynsbegäran.docx", "A 5755-2022")</f>
        <v/>
      </c>
      <c r="AD40">
        <f>HYPERLINK("https://klasma.github.io/Logging_0834/tillsynsmail/A 5755-2022 tillsynsbegäran mail.docx", "A 5755-2022")</f>
        <v/>
      </c>
    </row>
    <row r="41" ht="15" customHeight="1">
      <c r="A41" t="inlineStr">
        <is>
          <t>A 39699-2026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46289</v>
      </c>
      <c r="E41" s="1" t="n">
        <v>46299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Gullviva</t>
        </is>
      </c>
      <c r="W41">
        <f>HYPERLINK("https://klasma.github.io/Logging_0834/artfynd/A 39699-2026 artfynd.xlsx", "A 39699-2026")</f>
        <v/>
      </c>
      <c r="X41">
        <f>HYPERLINK("https://klasma.github.io/Logging_0834/kartor/A 39699-2026 karta.png", "A 39699-2026")</f>
        <v/>
      </c>
      <c r="Y41">
        <f>HYPERLINK("https://klasma.github.io/Logging_0834/kartor_geotiff/A 39699-2026 georefererad karta.tif", "A 39699-2026")</f>
        <v/>
      </c>
      <c r="AA41">
        <f>HYPERLINK("https://klasma.github.io/Logging_0834/klagomål/A 39699-2026 FSC-klagomål.docx", "A 39699-2026")</f>
        <v/>
      </c>
      <c r="AB41">
        <f>HYPERLINK("https://klasma.github.io/Logging_0834/klagomålsmail/A 39699-2026 FSC-klagomål mail.docx", "A 39699-2026")</f>
        <v/>
      </c>
      <c r="AC41">
        <f>HYPERLINK("https://klasma.github.io/Logging_0834/tillsyn/A 39699-2026 tillsynsbegäran.docx", "A 39699-2026")</f>
        <v/>
      </c>
      <c r="AD41">
        <f>HYPERLINK("https://klasma.github.io/Logging_0834/tillsynsmail/A 39699-2026 tillsynsbegäran mail.docx", "A 39699-2026")</f>
        <v/>
      </c>
    </row>
    <row r="42" ht="15" customHeight="1">
      <c r="A42" t="inlineStr">
        <is>
          <t>A 40306-2026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46293</v>
      </c>
      <c r="E42" s="1" t="n">
        <v>46299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HYPERLINK("https://klasma.github.io/Logging_0834/artfynd/A 40306-2026 artfynd.xlsx", "A 40306-2026")</f>
        <v/>
      </c>
      <c r="X42">
        <f>HYPERLINK("https://klasma.github.io/Logging_0834/kartor/A 40306-2026 karta.png", "A 40306-2026")</f>
        <v/>
      </c>
      <c r="Y42">
        <f>HYPERLINK("https://klasma.github.io/Logging_0834/kartor_geotiff/A 40306-2026 georefererad karta.tif", "A 40306-2026")</f>
        <v/>
      </c>
      <c r="AA42">
        <f>HYPERLINK("https://klasma.github.io/Logging_0834/klagomål/A 40306-2026 FSC-klagomål.docx", "A 40306-2026")</f>
        <v/>
      </c>
      <c r="AB42">
        <f>HYPERLINK("https://klasma.github.io/Logging_0834/klagomålsmail/A 40306-2026 FSC-klagomål mail.docx", "A 40306-2026")</f>
        <v/>
      </c>
      <c r="AC42">
        <f>HYPERLINK("https://klasma.github.io/Logging_0834/tillsyn/A 40306-2026 tillsynsbegäran.docx", "A 40306-2026")</f>
        <v/>
      </c>
      <c r="AD42">
        <f>HYPERLINK("https://klasma.github.io/Logging_0834/tillsynsmail/A 40306-2026 tillsynsbegäran mail.docx", "A 40306-2026")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46299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46299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46299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46299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46299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46299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46299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46299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46299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46299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46299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46299</v>
      </c>
      <c r="F54" t="inlineStr">
        <is>
          <t>KALMAR LÄN</t>
        </is>
      </c>
      <c r="G54" t="inlineStr">
        <is>
          <t>TORSÅS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10037-2022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46299</v>
      </c>
      <c r="F55" t="inlineStr">
        <is>
          <t>KALMAR LÄN</t>
        </is>
      </c>
      <c r="G55" t="inlineStr">
        <is>
          <t>TORSÅS</t>
        </is>
      </c>
      <c r="I55" t="n">
        <v>27.2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46299</v>
      </c>
      <c r="F56" t="inlineStr">
        <is>
          <t>KALMAR LÄN</t>
        </is>
      </c>
      <c r="G56" t="inlineStr">
        <is>
          <t>TORSÅS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46299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46299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46299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46299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46299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46299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46299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46299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46299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46299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46299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46299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46299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55288-2021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44475</v>
      </c>
      <c r="E70" s="1" t="n">
        <v>46299</v>
      </c>
      <c r="F70" t="inlineStr">
        <is>
          <t>KALMAR LÄN</t>
        </is>
      </c>
      <c r="G70" t="inlineStr">
        <is>
          <t>TORSÅS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46299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64991-2021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44514</v>
      </c>
      <c r="E72" s="1" t="n">
        <v>46299</v>
      </c>
      <c r="F72" t="inlineStr">
        <is>
          <t>KALMAR LÄN</t>
        </is>
      </c>
      <c r="G72" t="inlineStr">
        <is>
          <t>TORSÅS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69679-2021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46299</v>
      </c>
      <c r="F73" t="inlineStr">
        <is>
          <t>KALMAR LÄN</t>
        </is>
      </c>
      <c r="G73" t="inlineStr">
        <is>
          <t>TORSÅS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44536</v>
      </c>
      <c r="E74" s="1" t="n">
        <v>46299</v>
      </c>
      <c r="F74" t="inlineStr">
        <is>
          <t>KALMAR LÄN</t>
        </is>
      </c>
      <c r="G74" t="inlineStr">
        <is>
          <t>TORSÅS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46299</v>
      </c>
      <c r="F75" t="inlineStr">
        <is>
          <t>KALMAR LÄN</t>
        </is>
      </c>
      <c r="G75" t="inlineStr">
        <is>
          <t>TORSÅS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46299</v>
      </c>
      <c r="F76" t="inlineStr">
        <is>
          <t>KALMAR LÄN</t>
        </is>
      </c>
      <c r="G76" t="inlineStr">
        <is>
          <t>TORSÅS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46299</v>
      </c>
      <c r="F77" t="inlineStr">
        <is>
          <t>KALMAR LÄN</t>
        </is>
      </c>
      <c r="G77" t="inlineStr">
        <is>
          <t>TORSÅS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44652</v>
      </c>
      <c r="E78" s="1" t="n">
        <v>46299</v>
      </c>
      <c r="F78" t="inlineStr">
        <is>
          <t>KALMAR LÄN</t>
        </is>
      </c>
      <c r="G78" t="inlineStr">
        <is>
          <t>TORSÅS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46299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46299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44475</v>
      </c>
      <c r="E81" s="1" t="n">
        <v>46299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46299</v>
      </c>
      <c r="F82" t="inlineStr">
        <is>
          <t>KALMAR LÄN</t>
        </is>
      </c>
      <c r="G82" t="inlineStr">
        <is>
          <t>TORSÅS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46299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46299</v>
      </c>
      <c r="F84" t="inlineStr">
        <is>
          <t>KALMAR LÄN</t>
        </is>
      </c>
      <c r="G84" t="inlineStr">
        <is>
          <t>TORSÅS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46299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46299</v>
      </c>
      <c r="F86" t="inlineStr">
        <is>
          <t>KALMAR LÄN</t>
        </is>
      </c>
      <c r="G86" t="inlineStr">
        <is>
          <t>TORSÅS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46299</v>
      </c>
      <c r="F87" t="inlineStr">
        <is>
          <t>KALMAR LÄN</t>
        </is>
      </c>
      <c r="G87" t="inlineStr">
        <is>
          <t>TORSÅS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44580</v>
      </c>
      <c r="E88" s="1" t="n">
        <v>46299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46299</v>
      </c>
      <c r="F89" t="inlineStr">
        <is>
          <t>KALMAR LÄN</t>
        </is>
      </c>
      <c r="G89" t="inlineStr">
        <is>
          <t>TORSÅS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46299</v>
      </c>
      <c r="F90" t="inlineStr">
        <is>
          <t>KALMAR LÄN</t>
        </is>
      </c>
      <c r="G90" t="inlineStr">
        <is>
          <t>TORSÅS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28592-2022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44748</v>
      </c>
      <c r="E91" s="1" t="n">
        <v>46299</v>
      </c>
      <c r="F91" t="inlineStr">
        <is>
          <t>KALMAR LÄN</t>
        </is>
      </c>
      <c r="G91" t="inlineStr">
        <is>
          <t>TORSÅS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46299</v>
      </c>
      <c r="F92" t="inlineStr">
        <is>
          <t>KALMAR LÄN</t>
        </is>
      </c>
      <c r="G92" t="inlineStr">
        <is>
          <t>TORSÅS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45362</v>
      </c>
      <c r="E93" s="1" t="n">
        <v>46299</v>
      </c>
      <c r="F93" t="inlineStr">
        <is>
          <t>KALMAR LÄN</t>
        </is>
      </c>
      <c r="G93" t="inlineStr">
        <is>
          <t>TORSÅS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65159-2023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45288</v>
      </c>
      <c r="E94" s="1" t="n">
        <v>46299</v>
      </c>
      <c r="F94" t="inlineStr">
        <is>
          <t>KALMAR LÄN</t>
        </is>
      </c>
      <c r="G94" t="inlineStr">
        <is>
          <t>TORSÅS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44849</v>
      </c>
      <c r="E95" s="1" t="n">
        <v>46299</v>
      </c>
      <c r="F95" t="inlineStr">
        <is>
          <t>KALMAR LÄN</t>
        </is>
      </c>
      <c r="G95" t="inlineStr">
        <is>
          <t>TORSÅS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46299</v>
      </c>
      <c r="F96" t="inlineStr">
        <is>
          <t>KALMAR LÄN</t>
        </is>
      </c>
      <c r="G96" t="inlineStr">
        <is>
          <t>TORSÅS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46299</v>
      </c>
      <c r="F97" t="inlineStr">
        <is>
          <t>KALMAR LÄN</t>
        </is>
      </c>
      <c r="G97" t="inlineStr">
        <is>
          <t>TORSÅS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46299</v>
      </c>
      <c r="F98" t="inlineStr">
        <is>
          <t>KALMAR LÄN</t>
        </is>
      </c>
      <c r="G98" t="inlineStr">
        <is>
          <t>TORSÅS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46299</v>
      </c>
      <c r="F99" t="inlineStr">
        <is>
          <t>KALMAR LÄN</t>
        </is>
      </c>
      <c r="G99" t="inlineStr">
        <is>
          <t>TORSÅS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46299</v>
      </c>
      <c r="F100" t="inlineStr">
        <is>
          <t>KALMAR LÄN</t>
        </is>
      </c>
      <c r="G100" t="inlineStr">
        <is>
          <t>TORSÅS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45001</v>
      </c>
      <c r="E101" s="1" t="n">
        <v>46299</v>
      </c>
      <c r="F101" t="inlineStr">
        <is>
          <t>KALMAR LÄN</t>
        </is>
      </c>
      <c r="G101" t="inlineStr">
        <is>
          <t>TORSÅS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44949</v>
      </c>
      <c r="E102" s="1" t="n">
        <v>46299</v>
      </c>
      <c r="F102" t="inlineStr">
        <is>
          <t>KALMAR LÄN</t>
        </is>
      </c>
      <c r="G102" t="inlineStr">
        <is>
          <t>TORSÅS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46299</v>
      </c>
      <c r="F103" t="inlineStr">
        <is>
          <t>KALMAR LÄN</t>
        </is>
      </c>
      <c r="G103" t="inlineStr">
        <is>
          <t>TORSÅS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46299</v>
      </c>
      <c r="F104" t="inlineStr">
        <is>
          <t>KALMAR LÄN</t>
        </is>
      </c>
      <c r="G104" t="inlineStr">
        <is>
          <t>TORSÅS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45770</v>
      </c>
      <c r="E105" s="1" t="n">
        <v>46299</v>
      </c>
      <c r="F105" t="inlineStr">
        <is>
          <t>KALMAR LÄN</t>
        </is>
      </c>
      <c r="G105" t="inlineStr">
        <is>
          <t>TORSÅS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46299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46299</v>
      </c>
      <c r="F107" t="inlineStr">
        <is>
          <t>KALMAR LÄN</t>
        </is>
      </c>
      <c r="G107" t="inlineStr">
        <is>
          <t>TORSÅS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44613</v>
      </c>
      <c r="E108" s="1" t="n">
        <v>46299</v>
      </c>
      <c r="F108" t="inlineStr">
        <is>
          <t>KALMAR LÄN</t>
        </is>
      </c>
      <c r="G108" t="inlineStr">
        <is>
          <t>TORSÅS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44792</v>
      </c>
      <c r="E109" s="1" t="n">
        <v>46299</v>
      </c>
      <c r="F109" t="inlineStr">
        <is>
          <t>KALMAR LÄN</t>
        </is>
      </c>
      <c r="G109" t="inlineStr">
        <is>
          <t>TORSÅS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45036</v>
      </c>
      <c r="E110" s="1" t="n">
        <v>46299</v>
      </c>
      <c r="F110" t="inlineStr">
        <is>
          <t>KALMAR LÄN</t>
        </is>
      </c>
      <c r="G110" t="inlineStr">
        <is>
          <t>TORSÅS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60360-2022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44910</v>
      </c>
      <c r="E111" s="1" t="n">
        <v>46299</v>
      </c>
      <c r="F111" t="inlineStr">
        <is>
          <t>KALMAR LÄN</t>
        </is>
      </c>
      <c r="G111" t="inlineStr">
        <is>
          <t>TORSÅS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46299</v>
      </c>
      <c r="F112" t="inlineStr">
        <is>
          <t>KALMAR LÄN</t>
        </is>
      </c>
      <c r="G112" t="inlineStr">
        <is>
          <t>TORSÅS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46299</v>
      </c>
      <c r="F113" t="inlineStr">
        <is>
          <t>KALMAR LÄN</t>
        </is>
      </c>
      <c r="G113" t="inlineStr">
        <is>
          <t>TORSÅS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46299</v>
      </c>
      <c r="F114" t="inlineStr">
        <is>
          <t>KALMAR LÄN</t>
        </is>
      </c>
      <c r="G114" t="inlineStr">
        <is>
          <t>TORSÅS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44679</v>
      </c>
      <c r="E115" s="1" t="n">
        <v>46299</v>
      </c>
      <c r="F115" t="inlineStr">
        <is>
          <t>KALMAR LÄN</t>
        </is>
      </c>
      <c r="G115" t="inlineStr">
        <is>
          <t>TORSÅS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46299</v>
      </c>
      <c r="F116" t="inlineStr">
        <is>
          <t>KALMAR LÄN</t>
        </is>
      </c>
      <c r="G116" t="inlineStr">
        <is>
          <t>TORSÅS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46299</v>
      </c>
      <c r="F117" t="inlineStr">
        <is>
          <t>KALMAR LÄN</t>
        </is>
      </c>
      <c r="G117" t="inlineStr">
        <is>
          <t>TORSÅS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45075</v>
      </c>
      <c r="E118" s="1" t="n">
        <v>46299</v>
      </c>
      <c r="F118" t="inlineStr">
        <is>
          <t>KALMAR LÄN</t>
        </is>
      </c>
      <c r="G118" t="inlineStr">
        <is>
          <t>TORSÅS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45350</v>
      </c>
      <c r="E119" s="1" t="n">
        <v>46299</v>
      </c>
      <c r="F119" t="inlineStr">
        <is>
          <t>KALMAR LÄN</t>
        </is>
      </c>
      <c r="G119" t="inlineStr">
        <is>
          <t>TORSÅS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46299</v>
      </c>
      <c r="F120" t="inlineStr">
        <is>
          <t>KALMAR LÄN</t>
        </is>
      </c>
      <c r="G120" t="inlineStr">
        <is>
          <t>TORSÅS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46299</v>
      </c>
      <c r="F121" t="inlineStr">
        <is>
          <t>KALMAR LÄN</t>
        </is>
      </c>
      <c r="G121" t="inlineStr">
        <is>
          <t>TORSÅS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44776</v>
      </c>
      <c r="E122" s="1" t="n">
        <v>46299</v>
      </c>
      <c r="F122" t="inlineStr">
        <is>
          <t>KALMAR LÄN</t>
        </is>
      </c>
      <c r="G122" t="inlineStr">
        <is>
          <t>TORSÅS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45001</v>
      </c>
      <c r="E123" s="1" t="n">
        <v>46299</v>
      </c>
      <c r="F123" t="inlineStr">
        <is>
          <t>KALMAR LÄN</t>
        </is>
      </c>
      <c r="G123" t="inlineStr">
        <is>
          <t>TORSÅS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46299</v>
      </c>
      <c r="F124" t="inlineStr">
        <is>
          <t>KALMAR LÄN</t>
        </is>
      </c>
      <c r="G124" t="inlineStr">
        <is>
          <t>TORSÅS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45240</v>
      </c>
      <c r="E125" s="1" t="n">
        <v>46299</v>
      </c>
      <c r="F125" t="inlineStr">
        <is>
          <t>KALMAR LÄN</t>
        </is>
      </c>
      <c r="G125" t="inlineStr">
        <is>
          <t>TORSÅS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44683</v>
      </c>
      <c r="E126" s="1" t="n">
        <v>46299</v>
      </c>
      <c r="F126" t="inlineStr">
        <is>
          <t>KALMAR LÄN</t>
        </is>
      </c>
      <c r="G126" t="inlineStr">
        <is>
          <t>TORSÅS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44683</v>
      </c>
      <c r="E127" s="1" t="n">
        <v>46299</v>
      </c>
      <c r="F127" t="inlineStr">
        <is>
          <t>KALMAR LÄN</t>
        </is>
      </c>
      <c r="G127" t="inlineStr">
        <is>
          <t>TORSÅS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45327</v>
      </c>
      <c r="E128" s="1" t="n">
        <v>46299</v>
      </c>
      <c r="F128" t="inlineStr">
        <is>
          <t>KALMAR LÄN</t>
        </is>
      </c>
      <c r="G128" t="inlineStr">
        <is>
          <t>TORSÅS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37210-2023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46299</v>
      </c>
      <c r="F129" t="inlineStr">
        <is>
          <t>KALMAR LÄN</t>
        </is>
      </c>
      <c r="G129" t="inlineStr">
        <is>
          <t>TORSÅS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45790</v>
      </c>
      <c r="E130" s="1" t="n">
        <v>46299</v>
      </c>
      <c r="F130" t="inlineStr">
        <is>
          <t>KALMAR LÄN</t>
        </is>
      </c>
      <c r="G130" t="inlineStr">
        <is>
          <t>TORSÅS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44879</v>
      </c>
      <c r="E131" s="1" t="n">
        <v>46299</v>
      </c>
      <c r="F131" t="inlineStr">
        <is>
          <t>KALMAR LÄN</t>
        </is>
      </c>
      <c r="G131" t="inlineStr">
        <is>
          <t>TORSÅS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45309</v>
      </c>
      <c r="E132" s="1" t="n">
        <v>46299</v>
      </c>
      <c r="F132" t="inlineStr">
        <is>
          <t>KALMAR LÄN</t>
        </is>
      </c>
      <c r="G132" t="inlineStr">
        <is>
          <t>TORSÅS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46299</v>
      </c>
      <c r="F133" t="inlineStr">
        <is>
          <t>KALMAR LÄN</t>
        </is>
      </c>
      <c r="G133" t="inlineStr">
        <is>
          <t>TORSÅS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46299</v>
      </c>
      <c r="F134" t="inlineStr">
        <is>
          <t>KALMAR LÄN</t>
        </is>
      </c>
      <c r="G134" t="inlineStr">
        <is>
          <t>TORSÅS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46299</v>
      </c>
      <c r="F135" t="inlineStr">
        <is>
          <t>KALMAR LÄN</t>
        </is>
      </c>
      <c r="G135" t="inlineStr">
        <is>
          <t>TORSÅS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10472-2023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44987</v>
      </c>
      <c r="E136" s="1" t="n">
        <v>46299</v>
      </c>
      <c r="F136" t="inlineStr">
        <is>
          <t>KALMAR LÄN</t>
        </is>
      </c>
      <c r="G136" t="inlineStr">
        <is>
          <t>TORSÅS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46299</v>
      </c>
      <c r="F137" t="inlineStr">
        <is>
          <t>KALMAR LÄN</t>
        </is>
      </c>
      <c r="G137" t="inlineStr">
        <is>
          <t>TORSÅS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46299</v>
      </c>
      <c r="F138" t="inlineStr">
        <is>
          <t>KALMAR LÄN</t>
        </is>
      </c>
      <c r="G138" t="inlineStr">
        <is>
          <t>TORSÅS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46035</v>
      </c>
      <c r="E139" s="1" t="n">
        <v>46299</v>
      </c>
      <c r="F139" t="inlineStr">
        <is>
          <t>KALMAR LÄN</t>
        </is>
      </c>
      <c r="G139" t="inlineStr">
        <is>
          <t>TORSÅS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43066-2024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45567</v>
      </c>
      <c r="E140" s="1" t="n">
        <v>46299</v>
      </c>
      <c r="F140" t="inlineStr">
        <is>
          <t>KALMAR LÄN</t>
        </is>
      </c>
      <c r="G140" t="inlineStr">
        <is>
          <t>TORSÅS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46299</v>
      </c>
      <c r="F141" t="inlineStr">
        <is>
          <t>KALMAR LÄN</t>
        </is>
      </c>
      <c r="G141" t="inlineStr">
        <is>
          <t>TORSÅS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45219</v>
      </c>
      <c r="E142" s="1" t="n">
        <v>46299</v>
      </c>
      <c r="F142" t="inlineStr">
        <is>
          <t>KALMAR LÄN</t>
        </is>
      </c>
      <c r="G142" t="inlineStr">
        <is>
          <t>TORSÅS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46299</v>
      </c>
      <c r="F143" t="inlineStr">
        <is>
          <t>KALMAR LÄN</t>
        </is>
      </c>
      <c r="G143" t="inlineStr">
        <is>
          <t>TORSÅS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46299</v>
      </c>
      <c r="F144" t="inlineStr">
        <is>
          <t>KALMAR LÄN</t>
        </is>
      </c>
      <c r="G144" t="inlineStr">
        <is>
          <t>TORSÅS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45624</v>
      </c>
      <c r="E145" s="1" t="n">
        <v>46299</v>
      </c>
      <c r="F145" t="inlineStr">
        <is>
          <t>KALMAR LÄN</t>
        </is>
      </c>
      <c r="G145" t="inlineStr">
        <is>
          <t>TORSÅS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46299</v>
      </c>
      <c r="F146" t="inlineStr">
        <is>
          <t>KALMAR LÄN</t>
        </is>
      </c>
      <c r="G146" t="inlineStr">
        <is>
          <t>TORSÅS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46299</v>
      </c>
      <c r="F147" t="inlineStr">
        <is>
          <t>KALMAR LÄN</t>
        </is>
      </c>
      <c r="G147" t="inlineStr">
        <is>
          <t>TORSÅS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46299</v>
      </c>
      <c r="F148" t="inlineStr">
        <is>
          <t>KALMAR LÄN</t>
        </is>
      </c>
      <c r="G148" t="inlineStr">
        <is>
          <t>TORSÅS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46299</v>
      </c>
      <c r="F149" t="inlineStr">
        <is>
          <t>KALMAR LÄN</t>
        </is>
      </c>
      <c r="G149" t="inlineStr">
        <is>
          <t>TORSÅS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46299</v>
      </c>
      <c r="F150" t="inlineStr">
        <is>
          <t>KALMAR LÄN</t>
        </is>
      </c>
      <c r="G150" t="inlineStr">
        <is>
          <t>TORSÅS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45551</v>
      </c>
      <c r="E151" s="1" t="n">
        <v>46299</v>
      </c>
      <c r="F151" t="inlineStr">
        <is>
          <t>KALMAR LÄN</t>
        </is>
      </c>
      <c r="G151" t="inlineStr">
        <is>
          <t>TORSÅS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45917</v>
      </c>
      <c r="E152" s="1" t="n">
        <v>46299</v>
      </c>
      <c r="F152" t="inlineStr">
        <is>
          <t>KALMAR LÄN</t>
        </is>
      </c>
      <c r="G152" t="inlineStr">
        <is>
          <t>TORSÅS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45917</v>
      </c>
      <c r="E153" s="1" t="n">
        <v>46299</v>
      </c>
      <c r="F153" t="inlineStr">
        <is>
          <t>KALMAR LÄN</t>
        </is>
      </c>
      <c r="G153" t="inlineStr">
        <is>
          <t>TORSÅS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46299</v>
      </c>
      <c r="F154" t="inlineStr">
        <is>
          <t>KALMAR LÄN</t>
        </is>
      </c>
      <c r="G154" t="inlineStr">
        <is>
          <t>TORSÅS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45488</v>
      </c>
      <c r="E155" s="1" t="n">
        <v>46299</v>
      </c>
      <c r="F155" t="inlineStr">
        <is>
          <t>KALMAR LÄN</t>
        </is>
      </c>
      <c r="G155" t="inlineStr">
        <is>
          <t>TORSÅS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45618</v>
      </c>
      <c r="E156" s="1" t="n">
        <v>46299</v>
      </c>
      <c r="F156" t="inlineStr">
        <is>
          <t>KALMAR LÄN</t>
        </is>
      </c>
      <c r="G156" t="inlineStr">
        <is>
          <t>TORSÅS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45050</v>
      </c>
      <c r="E157" s="1" t="n">
        <v>46299</v>
      </c>
      <c r="F157" t="inlineStr">
        <is>
          <t>KALMAR LÄN</t>
        </is>
      </c>
      <c r="G157" t="inlineStr">
        <is>
          <t>TORSÅS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46299</v>
      </c>
      <c r="F158" t="inlineStr">
        <is>
          <t>KALMAR LÄN</t>
        </is>
      </c>
      <c r="G158" t="inlineStr">
        <is>
          <t>TORSÅS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46098-2025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45924</v>
      </c>
      <c r="E159" s="1" t="n">
        <v>46299</v>
      </c>
      <c r="F159" t="inlineStr">
        <is>
          <t>KALMAR LÄN</t>
        </is>
      </c>
      <c r="G159" t="inlineStr">
        <is>
          <t>TORSÅS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46299</v>
      </c>
      <c r="F160" t="inlineStr">
        <is>
          <t>KALMAR LÄN</t>
        </is>
      </c>
      <c r="G160" t="inlineStr">
        <is>
          <t>TORSÅS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45925</v>
      </c>
      <c r="E161" s="1" t="n">
        <v>46299</v>
      </c>
      <c r="F161" t="inlineStr">
        <is>
          <t>KALMAR LÄN</t>
        </is>
      </c>
      <c r="G161" t="inlineStr">
        <is>
          <t>TORSÅS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44967</v>
      </c>
      <c r="E162" s="1" t="n">
        <v>46299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7469-2026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46299</v>
      </c>
      <c r="F163" t="inlineStr">
        <is>
          <t>KALMAR LÄN</t>
        </is>
      </c>
      <c r="G163" t="inlineStr">
        <is>
          <t>TORSÅS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45195</v>
      </c>
      <c r="E164" s="1" t="n">
        <v>46299</v>
      </c>
      <c r="F164" t="inlineStr">
        <is>
          <t>KALMAR LÄN</t>
        </is>
      </c>
      <c r="G164" t="inlineStr">
        <is>
          <t>TORSÅS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45695</v>
      </c>
      <c r="E165" s="1" t="n">
        <v>46299</v>
      </c>
      <c r="F165" t="inlineStr">
        <is>
          <t>KALMAR LÄN</t>
        </is>
      </c>
      <c r="G165" t="inlineStr">
        <is>
          <t>TORSÅS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45532</v>
      </c>
      <c r="E166" s="1" t="n">
        <v>46299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45407</v>
      </c>
      <c r="E167" s="1" t="n">
        <v>46299</v>
      </c>
      <c r="F167" t="inlineStr">
        <is>
          <t>KALMAR LÄN</t>
        </is>
      </c>
      <c r="G167" t="inlineStr">
        <is>
          <t>TORSÅS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45330</v>
      </c>
      <c r="E168" s="1" t="n">
        <v>46299</v>
      </c>
      <c r="F168" t="inlineStr">
        <is>
          <t>KALMAR LÄN</t>
        </is>
      </c>
      <c r="G168" t="inlineStr">
        <is>
          <t>TORSÅS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46299</v>
      </c>
      <c r="F169" t="inlineStr">
        <is>
          <t>KALMAR LÄN</t>
        </is>
      </c>
      <c r="G169" t="inlineStr">
        <is>
          <t>TORSÅS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46299</v>
      </c>
      <c r="F170" t="inlineStr">
        <is>
          <t>KALMAR LÄN</t>
        </is>
      </c>
      <c r="G170" t="inlineStr">
        <is>
          <t>TORSÅS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46299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46299</v>
      </c>
      <c r="F172" t="inlineStr">
        <is>
          <t>KALMAR LÄN</t>
        </is>
      </c>
      <c r="G172" t="inlineStr">
        <is>
          <t>TORSÅS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46299</v>
      </c>
      <c r="F173" t="inlineStr">
        <is>
          <t>KALMAR LÄN</t>
        </is>
      </c>
      <c r="G173" t="inlineStr">
        <is>
          <t>TORSÅS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65651-2021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44516</v>
      </c>
      <c r="E174" s="1" t="n">
        <v>46299</v>
      </c>
      <c r="F174" t="inlineStr">
        <is>
          <t>KALMAR LÄN</t>
        </is>
      </c>
      <c r="G174" t="inlineStr">
        <is>
          <t>TORSÅS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44949</v>
      </c>
      <c r="E175" s="1" t="n">
        <v>46299</v>
      </c>
      <c r="F175" t="inlineStr">
        <is>
          <t>KALMAR LÄN</t>
        </is>
      </c>
      <c r="G175" t="inlineStr">
        <is>
          <t>TORSÅS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46299</v>
      </c>
      <c r="F176" t="inlineStr">
        <is>
          <t>KALMAR LÄN</t>
        </is>
      </c>
      <c r="G176" t="inlineStr">
        <is>
          <t>TORSÅS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46299</v>
      </c>
      <c r="F177" t="inlineStr">
        <is>
          <t>KALMAR LÄN</t>
        </is>
      </c>
      <c r="G177" t="inlineStr">
        <is>
          <t>TORSÅS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46083</v>
      </c>
      <c r="E178" s="1" t="n">
        <v>46299</v>
      </c>
      <c r="F178" t="inlineStr">
        <is>
          <t>KALMAR LÄN</t>
        </is>
      </c>
      <c r="G178" t="inlineStr">
        <is>
          <t>TORSÅS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11575-2026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46299</v>
      </c>
      <c r="F179" t="inlineStr">
        <is>
          <t>KALMAR LÄN</t>
        </is>
      </c>
      <c r="G179" t="inlineStr">
        <is>
          <t>TORSÅS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44827</v>
      </c>
      <c r="E180" s="1" t="n">
        <v>46299</v>
      </c>
      <c r="F180" t="inlineStr">
        <is>
          <t>KALMAR LÄN</t>
        </is>
      </c>
      <c r="G180" t="inlineStr">
        <is>
          <t>TORSÅS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9151-2023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46299</v>
      </c>
      <c r="F181" t="inlineStr">
        <is>
          <t>KALMAR LÄN</t>
        </is>
      </c>
      <c r="G181" t="inlineStr">
        <is>
          <t>TORSÅS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46299</v>
      </c>
      <c r="F182" t="inlineStr">
        <is>
          <t>KALMAR LÄN</t>
        </is>
      </c>
      <c r="G182" t="inlineStr">
        <is>
          <t>TORSÅS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46299</v>
      </c>
      <c r="F183" t="inlineStr">
        <is>
          <t>KALMAR LÄN</t>
        </is>
      </c>
      <c r="G183" t="inlineStr">
        <is>
          <t>TORSÅS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46299</v>
      </c>
      <c r="F184" t="inlineStr">
        <is>
          <t>KALMAR LÄN</t>
        </is>
      </c>
      <c r="G184" t="inlineStr">
        <is>
          <t>TORSÅS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46299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46299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46299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46299</v>
      </c>
      <c r="F188" t="inlineStr">
        <is>
          <t>KALMAR LÄN</t>
        </is>
      </c>
      <c r="G188" t="inlineStr">
        <is>
          <t>TORSÅS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70315-2021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44536</v>
      </c>
      <c r="E189" s="1" t="n">
        <v>46299</v>
      </c>
      <c r="F189" t="inlineStr">
        <is>
          <t>KALMAR LÄN</t>
        </is>
      </c>
      <c r="G189" t="inlineStr">
        <is>
          <t>TORSÅS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62661-2023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46299</v>
      </c>
      <c r="F190" t="inlineStr">
        <is>
          <t>KALMAR LÄN</t>
        </is>
      </c>
      <c r="G190" t="inlineStr">
        <is>
          <t>TORSÅS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44741</v>
      </c>
      <c r="E191" s="1" t="n">
        <v>46299</v>
      </c>
      <c r="F191" t="inlineStr">
        <is>
          <t>KALMAR LÄN</t>
        </is>
      </c>
      <c r="G191" t="inlineStr">
        <is>
          <t>TORSÅS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46299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46299</v>
      </c>
      <c r="F193" t="inlineStr">
        <is>
          <t>KALMAR LÄN</t>
        </is>
      </c>
      <c r="G193" t="inlineStr">
        <is>
          <t>TORSÅS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46299</v>
      </c>
      <c r="F194" t="inlineStr">
        <is>
          <t>KALMAR LÄN</t>
        </is>
      </c>
      <c r="G194" t="inlineStr">
        <is>
          <t>TORSÅS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46299</v>
      </c>
      <c r="F195" t="inlineStr">
        <is>
          <t>KALMAR LÄN</t>
        </is>
      </c>
      <c r="G195" t="inlineStr">
        <is>
          <t>TORSÅS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46299</v>
      </c>
      <c r="F196" t="inlineStr">
        <is>
          <t>KALMAR LÄN</t>
        </is>
      </c>
      <c r="G196" t="inlineStr">
        <is>
          <t>TORSÅS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28945-2025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45820</v>
      </c>
      <c r="E197" s="1" t="n">
        <v>46299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44739</v>
      </c>
      <c r="E198" s="1" t="n">
        <v>46299</v>
      </c>
      <c r="F198" t="inlineStr">
        <is>
          <t>KALMAR LÄN</t>
        </is>
      </c>
      <c r="G198" t="inlineStr">
        <is>
          <t>TORSÅS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46299</v>
      </c>
      <c r="F199" t="inlineStr">
        <is>
          <t>KALMAR LÄN</t>
        </is>
      </c>
      <c r="G199" t="inlineStr">
        <is>
          <t>TORSÅS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46299</v>
      </c>
      <c r="F200" t="inlineStr">
        <is>
          <t>KALMAR LÄN</t>
        </is>
      </c>
      <c r="G200" t="inlineStr">
        <is>
          <t>TORSÅS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59130-2025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45988</v>
      </c>
      <c r="E201" s="1" t="n">
        <v>46299</v>
      </c>
      <c r="F201" t="inlineStr">
        <is>
          <t>KALMAR LÄN</t>
        </is>
      </c>
      <c r="G201" t="inlineStr">
        <is>
          <t>TORSÅS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46299</v>
      </c>
      <c r="F202" t="inlineStr">
        <is>
          <t>KALMAR LÄN</t>
        </is>
      </c>
      <c r="G202" t="inlineStr">
        <is>
          <t>TORSÅS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44942</v>
      </c>
      <c r="E203" s="1" t="n">
        <v>46299</v>
      </c>
      <c r="F203" t="inlineStr">
        <is>
          <t>KALMAR LÄN</t>
        </is>
      </c>
      <c r="G203" t="inlineStr">
        <is>
          <t>TORSÅS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46299</v>
      </c>
      <c r="F204" t="inlineStr">
        <is>
          <t>KALMAR LÄN</t>
        </is>
      </c>
      <c r="G204" t="inlineStr">
        <is>
          <t>TORSÅS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45222</v>
      </c>
      <c r="E205" s="1" t="n">
        <v>46299</v>
      </c>
      <c r="F205" t="inlineStr">
        <is>
          <t>KALMAR LÄN</t>
        </is>
      </c>
      <c r="G205" t="inlineStr">
        <is>
          <t>TORSÅS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46299</v>
      </c>
      <c r="F206" t="inlineStr">
        <is>
          <t>KALMAR LÄN</t>
        </is>
      </c>
      <c r="G206" t="inlineStr">
        <is>
          <t>TORSÅS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46299</v>
      </c>
      <c r="F207" t="inlineStr">
        <is>
          <t>KALMAR LÄN</t>
        </is>
      </c>
      <c r="G207" t="inlineStr">
        <is>
          <t>TORSÅS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46299</v>
      </c>
      <c r="F208" t="inlineStr">
        <is>
          <t>KALMAR LÄN</t>
        </is>
      </c>
      <c r="G208" t="inlineStr">
        <is>
          <t>TORSÅS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46299</v>
      </c>
      <c r="F209" t="inlineStr">
        <is>
          <t>KALMAR LÄN</t>
        </is>
      </c>
      <c r="G209" t="inlineStr">
        <is>
          <t>TORSÅS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46299</v>
      </c>
      <c r="F210" t="inlineStr">
        <is>
          <t>KALMAR LÄN</t>
        </is>
      </c>
      <c r="G210" t="inlineStr">
        <is>
          <t>TORSÅS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46299</v>
      </c>
      <c r="F211" t="inlineStr">
        <is>
          <t>KALMAR LÄN</t>
        </is>
      </c>
      <c r="G211" t="inlineStr">
        <is>
          <t>TORSÅS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45425</v>
      </c>
      <c r="E212" s="1" t="n">
        <v>46299</v>
      </c>
      <c r="F212" t="inlineStr">
        <is>
          <t>KALMAR LÄN</t>
        </is>
      </c>
      <c r="G212" t="inlineStr">
        <is>
          <t>TORSÅS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44795</v>
      </c>
      <c r="E213" s="1" t="n">
        <v>46299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62649-2023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46299</v>
      </c>
      <c r="F214" t="inlineStr">
        <is>
          <t>KALMAR LÄN</t>
        </is>
      </c>
      <c r="G214" t="inlineStr">
        <is>
          <t>TORSÅS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44795</v>
      </c>
      <c r="E215" s="1" t="n">
        <v>46299</v>
      </c>
      <c r="F215" t="inlineStr">
        <is>
          <t>KALMAR LÄN</t>
        </is>
      </c>
      <c r="G215" t="inlineStr">
        <is>
          <t>TORSÅS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46299</v>
      </c>
      <c r="F216" t="inlineStr">
        <is>
          <t>KALMAR LÄN</t>
        </is>
      </c>
      <c r="G216" t="inlineStr">
        <is>
          <t>TORSÅS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45145</v>
      </c>
      <c r="E217" s="1" t="n">
        <v>46299</v>
      </c>
      <c r="F217" t="inlineStr">
        <is>
          <t>KALMAR LÄN</t>
        </is>
      </c>
      <c r="G217" t="inlineStr">
        <is>
          <t>TORSÅS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46299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44671</v>
      </c>
      <c r="E219" s="1" t="n">
        <v>46299</v>
      </c>
      <c r="F219" t="inlineStr">
        <is>
          <t>KALMAR LÄN</t>
        </is>
      </c>
      <c r="G219" t="inlineStr">
        <is>
          <t>TORSÅS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46299</v>
      </c>
      <c r="F220" t="inlineStr">
        <is>
          <t>KALMAR LÄN</t>
        </is>
      </c>
      <c r="G220" t="inlineStr">
        <is>
          <t>TORSÅS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46299</v>
      </c>
      <c r="F221" t="inlineStr">
        <is>
          <t>KALMAR LÄN</t>
        </is>
      </c>
      <c r="G221" t="inlineStr">
        <is>
          <t>TORSÅS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60742-2023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45260</v>
      </c>
      <c r="E222" s="1" t="n">
        <v>46299</v>
      </c>
      <c r="F222" t="inlineStr">
        <is>
          <t>KALMAR LÄN</t>
        </is>
      </c>
      <c r="G222" t="inlineStr">
        <is>
          <t>TORSÅS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46299</v>
      </c>
      <c r="F223" t="inlineStr">
        <is>
          <t>KALMAR LÄN</t>
        </is>
      </c>
      <c r="G223" t="inlineStr">
        <is>
          <t>TORSÅS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46299</v>
      </c>
      <c r="F224" t="inlineStr">
        <is>
          <t>KALMAR LÄN</t>
        </is>
      </c>
      <c r="G224" t="inlineStr">
        <is>
          <t>TORSÅS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45736</v>
      </c>
      <c r="E225" s="1" t="n">
        <v>46299</v>
      </c>
      <c r="F225" t="inlineStr">
        <is>
          <t>KALMAR LÄN</t>
        </is>
      </c>
      <c r="G225" t="inlineStr">
        <is>
          <t>TORSÅS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45335</v>
      </c>
      <c r="E226" s="1" t="n">
        <v>46299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46299</v>
      </c>
      <c r="F227" t="inlineStr">
        <is>
          <t>KALMAR LÄN</t>
        </is>
      </c>
      <c r="G227" t="inlineStr">
        <is>
          <t>TORSÅS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45196</v>
      </c>
      <c r="E228" s="1" t="n">
        <v>46299</v>
      </c>
      <c r="F228" t="inlineStr">
        <is>
          <t>KALMAR LÄN</t>
        </is>
      </c>
      <c r="G228" t="inlineStr">
        <is>
          <t>TORSÅS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46299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45016</v>
      </c>
      <c r="E230" s="1" t="n">
        <v>46299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46299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46299</v>
      </c>
      <c r="F232" t="inlineStr">
        <is>
          <t>KALMAR LÄN</t>
        </is>
      </c>
      <c r="G232" t="inlineStr">
        <is>
          <t>TORSÅS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59284-2021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44490</v>
      </c>
      <c r="E233" s="1" t="n">
        <v>46299</v>
      </c>
      <c r="F233" t="inlineStr">
        <is>
          <t>KALMAR LÄN</t>
        </is>
      </c>
      <c r="G233" t="inlineStr">
        <is>
          <t>TORSÅS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45860</v>
      </c>
      <c r="E234" s="1" t="n">
        <v>46299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45408</v>
      </c>
      <c r="E235" s="1" t="n">
        <v>46299</v>
      </c>
      <c r="F235" t="inlineStr">
        <is>
          <t>KALMAR LÄN</t>
        </is>
      </c>
      <c r="G235" t="inlineStr">
        <is>
          <t>TORSÅS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46299</v>
      </c>
      <c r="F236" t="inlineStr">
        <is>
          <t>KALMAR LÄN</t>
        </is>
      </c>
      <c r="G236" t="inlineStr">
        <is>
          <t>TORSÅS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46299</v>
      </c>
      <c r="F237" t="inlineStr">
        <is>
          <t>KALMAR LÄN</t>
        </is>
      </c>
      <c r="G237" t="inlineStr">
        <is>
          <t>TORSÅS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44600</v>
      </c>
      <c r="E238" s="1" t="n">
        <v>46299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46299</v>
      </c>
      <c r="F239" t="inlineStr">
        <is>
          <t>KALMAR LÄN</t>
        </is>
      </c>
      <c r="G239" t="inlineStr">
        <is>
          <t>TORSÅS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29999-2025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46299</v>
      </c>
      <c r="F240" t="inlineStr">
        <is>
          <t>KALMAR LÄN</t>
        </is>
      </c>
      <c r="G240" t="inlineStr">
        <is>
          <t>TORSÅS</t>
        </is>
      </c>
      <c r="I240" t="n">
        <v>15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44613</v>
      </c>
      <c r="E241" s="1" t="n">
        <v>46299</v>
      </c>
      <c r="F241" t="inlineStr">
        <is>
          <t>KALMAR LÄN</t>
        </is>
      </c>
      <c r="G241" t="inlineStr">
        <is>
          <t>TORSÅS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21577-2022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44706</v>
      </c>
      <c r="E242" s="1" t="n">
        <v>46299</v>
      </c>
      <c r="F242" t="inlineStr">
        <is>
          <t>KALMAR LÄN</t>
        </is>
      </c>
      <c r="G242" t="inlineStr">
        <is>
          <t>TORSÅS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44942</v>
      </c>
      <c r="E243" s="1" t="n">
        <v>46299</v>
      </c>
      <c r="F243" t="inlineStr">
        <is>
          <t>KALMAR LÄN</t>
        </is>
      </c>
      <c r="G243" t="inlineStr">
        <is>
          <t>TORSÅS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45869</v>
      </c>
      <c r="E244" s="1" t="n">
        <v>46299</v>
      </c>
      <c r="F244" t="inlineStr">
        <is>
          <t>KALMAR LÄN</t>
        </is>
      </c>
      <c r="G244" t="inlineStr">
        <is>
          <t>TORSÅS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45869</v>
      </c>
      <c r="E245" s="1" t="n">
        <v>46299</v>
      </c>
      <c r="F245" t="inlineStr">
        <is>
          <t>KALMAR LÄN</t>
        </is>
      </c>
      <c r="G245" t="inlineStr">
        <is>
          <t>TORSÅS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45869</v>
      </c>
      <c r="E246" s="1" t="n">
        <v>46299</v>
      </c>
      <c r="F246" t="inlineStr">
        <is>
          <t>KALMAR LÄN</t>
        </is>
      </c>
      <c r="G246" t="inlineStr">
        <is>
          <t>TORSÅS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46299</v>
      </c>
      <c r="F247" t="inlineStr">
        <is>
          <t>KALMAR LÄN</t>
        </is>
      </c>
      <c r="G247" t="inlineStr">
        <is>
          <t>TORSÅS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46299</v>
      </c>
      <c r="F248" t="inlineStr">
        <is>
          <t>KALMAR LÄN</t>
        </is>
      </c>
      <c r="G248" t="inlineStr">
        <is>
          <t>TORSÅS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51781-2023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46299</v>
      </c>
      <c r="F249" t="inlineStr">
        <is>
          <t>KALMAR LÄN</t>
        </is>
      </c>
      <c r="G249" t="inlineStr">
        <is>
          <t>TORSÅS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46299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45132</v>
      </c>
      <c r="E251" s="1" t="n">
        <v>46299</v>
      </c>
      <c r="F251" t="inlineStr">
        <is>
          <t>KALMAR LÄN</t>
        </is>
      </c>
      <c r="G251" t="inlineStr">
        <is>
          <t>TORSÅS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46299</v>
      </c>
      <c r="F252" t="inlineStr">
        <is>
          <t>KALMAR LÄN</t>
        </is>
      </c>
      <c r="G252" t="inlineStr">
        <is>
          <t>TORSÅS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21192-2026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46146</v>
      </c>
      <c r="E253" s="1" t="n">
        <v>46299</v>
      </c>
      <c r="F253" t="inlineStr">
        <is>
          <t>KALMAR LÄN</t>
        </is>
      </c>
      <c r="G253" t="inlineStr">
        <is>
          <t>TORSÅS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45139</v>
      </c>
      <c r="E254" s="1" t="n">
        <v>46299</v>
      </c>
      <c r="F254" t="inlineStr">
        <is>
          <t>KALMAR LÄN</t>
        </is>
      </c>
      <c r="G254" t="inlineStr">
        <is>
          <t>TORSÅS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46299</v>
      </c>
      <c r="F255" t="inlineStr">
        <is>
          <t>KALMAR LÄN</t>
        </is>
      </c>
      <c r="G255" t="inlineStr">
        <is>
          <t>TORSÅS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45001</v>
      </c>
      <c r="E256" s="1" t="n">
        <v>46299</v>
      </c>
      <c r="F256" t="inlineStr">
        <is>
          <t>KALMAR LÄN</t>
        </is>
      </c>
      <c r="G256" t="inlineStr">
        <is>
          <t>TORSÅS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45001</v>
      </c>
      <c r="E257" s="1" t="n">
        <v>46299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46299</v>
      </c>
      <c r="F258" t="inlineStr">
        <is>
          <t>KALMAR LÄN</t>
        </is>
      </c>
      <c r="G258" t="inlineStr">
        <is>
          <t>TORSÅS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46299</v>
      </c>
      <c r="F259" t="inlineStr">
        <is>
          <t>KALMAR LÄN</t>
        </is>
      </c>
      <c r="G259" t="inlineStr">
        <is>
          <t>TORSÅS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19943-2023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46299</v>
      </c>
      <c r="F260" t="inlineStr">
        <is>
          <t>KALMAR LÄN</t>
        </is>
      </c>
      <c r="G260" t="inlineStr">
        <is>
          <t>TORSÅS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44839-2022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44841</v>
      </c>
      <c r="E261" s="1" t="n">
        <v>46299</v>
      </c>
      <c r="F261" t="inlineStr">
        <is>
          <t>KALMAR LÄN</t>
        </is>
      </c>
      <c r="G261" t="inlineStr">
        <is>
          <t>TORSÅS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46299</v>
      </c>
      <c r="F262" t="inlineStr">
        <is>
          <t>KALMAR LÄN</t>
        </is>
      </c>
      <c r="G262" t="inlineStr">
        <is>
          <t>TORSÅS</t>
        </is>
      </c>
      <c r="H262" t="inlineStr">
        <is>
          <t>Kommuner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60055-2021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44495</v>
      </c>
      <c r="E263" s="1" t="n">
        <v>46299</v>
      </c>
      <c r="F263" t="inlineStr">
        <is>
          <t>KALMAR LÄN</t>
        </is>
      </c>
      <c r="G263" t="inlineStr">
        <is>
          <t>TORSÅS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45716</v>
      </c>
      <c r="E264" s="1" t="n">
        <v>46299</v>
      </c>
      <c r="F264" t="inlineStr">
        <is>
          <t>KALMAR LÄN</t>
        </is>
      </c>
      <c r="G264" t="inlineStr">
        <is>
          <t>TORSÅS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45208</v>
      </c>
      <c r="E265" s="1" t="n">
        <v>46299</v>
      </c>
      <c r="F265" t="inlineStr">
        <is>
          <t>KALMAR LÄN</t>
        </is>
      </c>
      <c r="G265" t="inlineStr">
        <is>
          <t>TORSÅS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45208</v>
      </c>
      <c r="E266" s="1" t="n">
        <v>46299</v>
      </c>
      <c r="F266" t="inlineStr">
        <is>
          <t>KALMAR LÄN</t>
        </is>
      </c>
      <c r="G266" t="inlineStr">
        <is>
          <t>TORSÅS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45040</v>
      </c>
      <c r="E267" s="1" t="n">
        <v>46299</v>
      </c>
      <c r="F267" t="inlineStr">
        <is>
          <t>KALMAR LÄN</t>
        </is>
      </c>
      <c r="G267" t="inlineStr">
        <is>
          <t>TORSÅS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46299</v>
      </c>
      <c r="F268" t="inlineStr">
        <is>
          <t>KALMAR LÄN</t>
        </is>
      </c>
      <c r="G268" t="inlineStr">
        <is>
          <t>TORSÅS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65155-2023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45288</v>
      </c>
      <c r="E269" s="1" t="n">
        <v>46299</v>
      </c>
      <c r="F269" t="inlineStr">
        <is>
          <t>KALMAR LÄN</t>
        </is>
      </c>
      <c r="G269" t="inlineStr">
        <is>
          <t>TORSÅS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46299</v>
      </c>
      <c r="F270" t="inlineStr">
        <is>
          <t>KALMAR LÄN</t>
        </is>
      </c>
      <c r="G270" t="inlineStr">
        <is>
          <t>TORSÅS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46299</v>
      </c>
      <c r="F271" t="inlineStr">
        <is>
          <t>KALMAR LÄN</t>
        </is>
      </c>
      <c r="G271" t="inlineStr">
        <is>
          <t>TORSÅS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46299</v>
      </c>
      <c r="F272" t="inlineStr">
        <is>
          <t>KALMAR LÄN</t>
        </is>
      </c>
      <c r="G272" t="inlineStr">
        <is>
          <t>TORSÅS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24661-2025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45798</v>
      </c>
      <c r="E273" s="1" t="n">
        <v>46299</v>
      </c>
      <c r="F273" t="inlineStr">
        <is>
          <t>KALMAR LÄN</t>
        </is>
      </c>
      <c r="G273" t="inlineStr">
        <is>
          <t>TORSÅS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37626-2025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45880</v>
      </c>
      <c r="E274" s="1" t="n">
        <v>46299</v>
      </c>
      <c r="F274" t="inlineStr">
        <is>
          <t>KALMAR LÄN</t>
        </is>
      </c>
      <c r="G274" t="inlineStr">
        <is>
          <t>TORSÅS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46299</v>
      </c>
      <c r="F275" t="inlineStr">
        <is>
          <t>KALMAR LÄN</t>
        </is>
      </c>
      <c r="G275" t="inlineStr">
        <is>
          <t>TORSÅS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65157-2023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45288</v>
      </c>
      <c r="E276" s="1" t="n">
        <v>46299</v>
      </c>
      <c r="F276" t="inlineStr">
        <is>
          <t>KALMAR LÄN</t>
        </is>
      </c>
      <c r="G276" t="inlineStr">
        <is>
          <t>TORSÅS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44984</v>
      </c>
      <c r="E277" s="1" t="n">
        <v>46299</v>
      </c>
      <c r="F277" t="inlineStr">
        <is>
          <t>KALMAR LÄN</t>
        </is>
      </c>
      <c r="G277" t="inlineStr">
        <is>
          <t>TORSÅS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46299</v>
      </c>
      <c r="F278" t="inlineStr">
        <is>
          <t>KALMAR LÄN</t>
        </is>
      </c>
      <c r="G278" t="inlineStr">
        <is>
          <t>TORSÅS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46299</v>
      </c>
      <c r="F279" t="inlineStr">
        <is>
          <t>KALMAR LÄN</t>
        </is>
      </c>
      <c r="G279" t="inlineStr">
        <is>
          <t>TORSÅS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46299</v>
      </c>
      <c r="F280" t="inlineStr">
        <is>
          <t>KALMAR LÄN</t>
        </is>
      </c>
      <c r="G280" t="inlineStr">
        <is>
          <t>TORSÅS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46299</v>
      </c>
      <c r="F281" t="inlineStr">
        <is>
          <t>KALMAR LÄN</t>
        </is>
      </c>
      <c r="G281" t="inlineStr">
        <is>
          <t>TORSÅS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46299</v>
      </c>
      <c r="F282" t="inlineStr">
        <is>
          <t>KALMAR LÄN</t>
        </is>
      </c>
      <c r="G282" t="inlineStr">
        <is>
          <t>TORSÅS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46299</v>
      </c>
      <c r="F283" t="inlineStr">
        <is>
          <t>KALMAR LÄN</t>
        </is>
      </c>
      <c r="G283" t="inlineStr">
        <is>
          <t>TORSÅS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25072-2026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46174</v>
      </c>
      <c r="E284" s="1" t="n">
        <v>46299</v>
      </c>
      <c r="F284" t="inlineStr">
        <is>
          <t>KALMAR LÄN</t>
        </is>
      </c>
      <c r="G284" t="inlineStr">
        <is>
          <t>TORSÅS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45222</v>
      </c>
      <c r="E285" s="1" t="n">
        <v>46299</v>
      </c>
      <c r="F285" t="inlineStr">
        <is>
          <t>KALMAR LÄN</t>
        </is>
      </c>
      <c r="G285" t="inlineStr">
        <is>
          <t>TORSÅS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19714-2022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44694</v>
      </c>
      <c r="E286" s="1" t="n">
        <v>46299</v>
      </c>
      <c r="F286" t="inlineStr">
        <is>
          <t>KALMAR LÄN</t>
        </is>
      </c>
      <c r="G286" t="inlineStr">
        <is>
          <t>TORSÅS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45308</v>
      </c>
      <c r="E287" s="1" t="n">
        <v>46299</v>
      </c>
      <c r="F287" t="inlineStr">
        <is>
          <t>KALMAR LÄN</t>
        </is>
      </c>
      <c r="G287" t="inlineStr">
        <is>
          <t>TORSÅS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45145</v>
      </c>
      <c r="E288" s="1" t="n">
        <v>46299</v>
      </c>
      <c r="F288" t="inlineStr">
        <is>
          <t>KALMAR LÄN</t>
        </is>
      </c>
      <c r="G288" t="inlineStr">
        <is>
          <t>TORSÅS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10651-2023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44988</v>
      </c>
      <c r="E289" s="1" t="n">
        <v>46299</v>
      </c>
      <c r="F289" t="inlineStr">
        <is>
          <t>KALMAR LÄN</t>
        </is>
      </c>
      <c r="G289" t="inlineStr">
        <is>
          <t>TORSÅS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46299</v>
      </c>
      <c r="F290" t="inlineStr">
        <is>
          <t>KALMAR LÄN</t>
        </is>
      </c>
      <c r="G290" t="inlineStr">
        <is>
          <t>TORSÅS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41566-2022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44827</v>
      </c>
      <c r="E291" s="1" t="n">
        <v>46299</v>
      </c>
      <c r="F291" t="inlineStr">
        <is>
          <t>KALMAR LÄN</t>
        </is>
      </c>
      <c r="G291" t="inlineStr">
        <is>
          <t>TORSÅS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46299</v>
      </c>
      <c r="F292" t="inlineStr">
        <is>
          <t>KALMAR LÄN</t>
        </is>
      </c>
      <c r="G292" t="inlineStr">
        <is>
          <t>TORSÅS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58443-2023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46299</v>
      </c>
      <c r="F293" t="inlineStr">
        <is>
          <t>KALMAR LÄN</t>
        </is>
      </c>
      <c r="G293" t="inlineStr">
        <is>
          <t>TORSÅS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46299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45196</v>
      </c>
      <c r="E295" s="1" t="n">
        <v>46299</v>
      </c>
      <c r="F295" t="inlineStr">
        <is>
          <t>KALMAR LÄN</t>
        </is>
      </c>
      <c r="G295" t="inlineStr">
        <is>
          <t>TORSÅS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46119</v>
      </c>
      <c r="E296" s="1" t="n">
        <v>46299</v>
      </c>
      <c r="F296" t="inlineStr">
        <is>
          <t>KALMAR LÄN</t>
        </is>
      </c>
      <c r="G296" t="inlineStr">
        <is>
          <t>TORSÅS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44943</v>
      </c>
      <c r="E297" s="1" t="n">
        <v>46299</v>
      </c>
      <c r="F297" t="inlineStr">
        <is>
          <t>KALMAR LÄN</t>
        </is>
      </c>
      <c r="G297" t="inlineStr">
        <is>
          <t>TORSÅS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54741-2022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44883</v>
      </c>
      <c r="E298" s="1" t="n">
        <v>46299</v>
      </c>
      <c r="F298" t="inlineStr">
        <is>
          <t>KALMAR LÄN</t>
        </is>
      </c>
      <c r="G298" t="inlineStr">
        <is>
          <t>TORSÅS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46299</v>
      </c>
      <c r="F299" t="inlineStr">
        <is>
          <t>KALMAR LÄN</t>
        </is>
      </c>
      <c r="G299" t="inlineStr">
        <is>
          <t>TORSÅS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44992</v>
      </c>
      <c r="E300" s="1" t="n">
        <v>46299</v>
      </c>
      <c r="F300" t="inlineStr">
        <is>
          <t>KALMAR LÄN</t>
        </is>
      </c>
      <c r="G300" t="inlineStr">
        <is>
          <t>TORSÅS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45155</v>
      </c>
      <c r="E301" s="1" t="n">
        <v>46299</v>
      </c>
      <c r="F301" t="inlineStr">
        <is>
          <t>KALMAR LÄN</t>
        </is>
      </c>
      <c r="G301" t="inlineStr">
        <is>
          <t>TORSÅS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46299</v>
      </c>
      <c r="F302" t="inlineStr">
        <is>
          <t>KALMAR LÄN</t>
        </is>
      </c>
      <c r="G302" t="inlineStr">
        <is>
          <t>TORSÅS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45440</v>
      </c>
      <c r="E303" s="1" t="n">
        <v>46299</v>
      </c>
      <c r="F303" t="inlineStr">
        <is>
          <t>KALMAR LÄN</t>
        </is>
      </c>
      <c r="G303" t="inlineStr">
        <is>
          <t>TORSÅS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55675-2021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44476</v>
      </c>
      <c r="E304" s="1" t="n">
        <v>46299</v>
      </c>
      <c r="F304" t="inlineStr">
        <is>
          <t>KALMAR LÄN</t>
        </is>
      </c>
      <c r="G304" t="inlineStr">
        <is>
          <t>TORSÅS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29491-2026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46203</v>
      </c>
      <c r="E305" s="1" t="n">
        <v>46299</v>
      </c>
      <c r="F305" t="inlineStr">
        <is>
          <t>KALMAR LÄN</t>
        </is>
      </c>
      <c r="G305" t="inlineStr">
        <is>
          <t>TORSÅS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44958</v>
      </c>
      <c r="E306" s="1" t="n">
        <v>46299</v>
      </c>
      <c r="F306" t="inlineStr">
        <is>
          <t>KALMAR LÄN</t>
        </is>
      </c>
      <c r="G306" t="inlineStr">
        <is>
          <t>TORSÅS</t>
        </is>
      </c>
      <c r="H306" t="inlineStr">
        <is>
          <t>Övriga Aktiebolag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46299</v>
      </c>
      <c r="F307" t="inlineStr">
        <is>
          <t>KALMAR LÄN</t>
        </is>
      </c>
      <c r="G307" t="inlineStr">
        <is>
          <t>TORSÅS</t>
        </is>
      </c>
      <c r="I307" t="n">
        <v>12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56522-2022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46299</v>
      </c>
      <c r="F308" t="inlineStr">
        <is>
          <t>KALMAR LÄN</t>
        </is>
      </c>
      <c r="G308" t="inlineStr">
        <is>
          <t>TORSÅS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41452-2022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46299</v>
      </c>
      <c r="F309" t="inlineStr">
        <is>
          <t>KALMAR LÄN</t>
        </is>
      </c>
      <c r="G309" t="inlineStr">
        <is>
          <t>TORSÅS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44725</v>
      </c>
      <c r="E310" s="1" t="n">
        <v>46299</v>
      </c>
      <c r="F310" t="inlineStr">
        <is>
          <t>KALMAR LÄN</t>
        </is>
      </c>
      <c r="G310" t="inlineStr">
        <is>
          <t>TORSÅS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44600</v>
      </c>
      <c r="E311" s="1" t="n">
        <v>46299</v>
      </c>
      <c r="F311" t="inlineStr">
        <is>
          <t>KALMAR LÄN</t>
        </is>
      </c>
      <c r="G311" t="inlineStr">
        <is>
          <t>TORSÅS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45029</v>
      </c>
      <c r="E312" s="1" t="n">
        <v>46299</v>
      </c>
      <c r="F312" t="inlineStr">
        <is>
          <t>KALMAR LÄN</t>
        </is>
      </c>
      <c r="G312" t="inlineStr">
        <is>
          <t>TORSÅS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45096</v>
      </c>
      <c r="E313" s="1" t="n">
        <v>46299</v>
      </c>
      <c r="F313" t="inlineStr">
        <is>
          <t>KALMAR LÄN</t>
        </is>
      </c>
      <c r="G313" t="inlineStr">
        <is>
          <t>TORSÅS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68493-2021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44529</v>
      </c>
      <c r="E314" s="1" t="n">
        <v>46299</v>
      </c>
      <c r="F314" t="inlineStr">
        <is>
          <t>KALMAR LÄN</t>
        </is>
      </c>
      <c r="G314" t="inlineStr">
        <is>
          <t>TORSÅS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46299</v>
      </c>
      <c r="F315" t="inlineStr">
        <is>
          <t>KALMAR LÄN</t>
        </is>
      </c>
      <c r="G315" t="inlineStr">
        <is>
          <t>TORSÅS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46260</v>
      </c>
      <c r="E316" s="1" t="n">
        <v>46299</v>
      </c>
      <c r="F316" t="inlineStr">
        <is>
          <t>KALMAR LÄN</t>
        </is>
      </c>
      <c r="G316" t="inlineStr">
        <is>
          <t>TORSÅS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30867-2023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46299</v>
      </c>
      <c r="F317" t="inlineStr">
        <is>
          <t>KALMAR LÄN</t>
        </is>
      </c>
      <c r="G317" t="inlineStr">
        <is>
          <t>TORSÅS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46299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31228-2026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46217</v>
      </c>
      <c r="E319" s="1" t="n">
        <v>46299</v>
      </c>
      <c r="F319" t="inlineStr">
        <is>
          <t>KALMAR LÄN</t>
        </is>
      </c>
      <c r="G319" t="inlineStr">
        <is>
          <t>TORSÅS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46299</v>
      </c>
      <c r="F320" t="inlineStr">
        <is>
          <t>KALMAR LÄN</t>
        </is>
      </c>
      <c r="G320" t="inlineStr">
        <is>
          <t>TORSÅS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46218</v>
      </c>
      <c r="E321" s="1" t="n">
        <v>46299</v>
      </c>
      <c r="F321" t="inlineStr">
        <is>
          <t>KALMAR LÄN</t>
        </is>
      </c>
      <c r="G321" t="inlineStr">
        <is>
          <t>TORSÅS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46218</v>
      </c>
      <c r="E322" s="1" t="n">
        <v>46299</v>
      </c>
      <c r="F322" t="inlineStr">
        <is>
          <t>KALMAR LÄN</t>
        </is>
      </c>
      <c r="G322" t="inlineStr">
        <is>
          <t>TORSÅS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45093</v>
      </c>
      <c r="E323" s="1" t="n">
        <v>46299</v>
      </c>
      <c r="F323" t="inlineStr">
        <is>
          <t>KALMAR LÄN</t>
        </is>
      </c>
      <c r="G323" t="inlineStr">
        <is>
          <t>TORSÅS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45093</v>
      </c>
      <c r="E324" s="1" t="n">
        <v>46299</v>
      </c>
      <c r="F324" t="inlineStr">
        <is>
          <t>KALMAR LÄN</t>
        </is>
      </c>
      <c r="G324" t="inlineStr">
        <is>
          <t>TORSÅS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46265</v>
      </c>
      <c r="E325" s="1" t="n">
        <v>46299</v>
      </c>
      <c r="F325" t="inlineStr">
        <is>
          <t>KALMAR LÄN</t>
        </is>
      </c>
      <c r="G325" t="inlineStr">
        <is>
          <t>TORSÅS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53976-2022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44881</v>
      </c>
      <c r="E326" s="1" t="n">
        <v>46299</v>
      </c>
      <c r="F326" t="inlineStr">
        <is>
          <t>KALMAR LÄN</t>
        </is>
      </c>
      <c r="G326" t="inlineStr">
        <is>
          <t>TORSÅS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46299</v>
      </c>
      <c r="F327" t="inlineStr">
        <is>
          <t>KALMAR LÄN</t>
        </is>
      </c>
      <c r="G327" t="inlineStr">
        <is>
          <t>TORSÅS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45328</v>
      </c>
      <c r="E328" s="1" t="n">
        <v>46299</v>
      </c>
      <c r="F328" t="inlineStr">
        <is>
          <t>KALMAR LÄN</t>
        </is>
      </c>
      <c r="G328" t="inlineStr">
        <is>
          <t>TORSÅS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52659-2024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45610</v>
      </c>
      <c r="E329" s="1" t="n">
        <v>46299</v>
      </c>
      <c r="F329" t="inlineStr">
        <is>
          <t>KALMAR LÄN</t>
        </is>
      </c>
      <c r="G329" t="inlineStr">
        <is>
          <t>TORSÅS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46299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46299</v>
      </c>
      <c r="F331" t="inlineStr">
        <is>
          <t>KALMAR LÄN</t>
        </is>
      </c>
      <c r="G331" t="inlineStr">
        <is>
          <t>TORSÅS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44938</v>
      </c>
      <c r="E332" s="1" t="n">
        <v>46299</v>
      </c>
      <c r="F332" t="inlineStr">
        <is>
          <t>KALMAR LÄN</t>
        </is>
      </c>
      <c r="G332" t="inlineStr">
        <is>
          <t>TORSÅS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46299</v>
      </c>
      <c r="F333" t="inlineStr">
        <is>
          <t>KALMAR LÄN</t>
        </is>
      </c>
      <c r="G333" t="inlineStr">
        <is>
          <t>TORSÅS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45084</v>
      </c>
      <c r="E334" s="1" t="n">
        <v>46299</v>
      </c>
      <c r="F334" t="inlineStr">
        <is>
          <t>KALMAR LÄN</t>
        </is>
      </c>
      <c r="G334" t="inlineStr">
        <is>
          <t>TORSÅS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56701-2025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45977</v>
      </c>
      <c r="E335" s="1" t="n">
        <v>46299</v>
      </c>
      <c r="F335" t="inlineStr">
        <is>
          <t>KALMAR LÄN</t>
        </is>
      </c>
      <c r="G335" t="inlineStr">
        <is>
          <t>TORSÅS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46268</v>
      </c>
      <c r="E336" s="1" t="n">
        <v>46299</v>
      </c>
      <c r="F336" t="inlineStr">
        <is>
          <t>KALMAR LÄN</t>
        </is>
      </c>
      <c r="G336" t="inlineStr">
        <is>
          <t>TORSÅS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46268</v>
      </c>
      <c r="E337" s="1" t="n">
        <v>46299</v>
      </c>
      <c r="F337" t="inlineStr">
        <is>
          <t>KALMAR LÄN</t>
        </is>
      </c>
      <c r="G337" t="inlineStr">
        <is>
          <t>TORSÅS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46299</v>
      </c>
      <c r="F338" t="inlineStr">
        <is>
          <t>KALMAR LÄN</t>
        </is>
      </c>
      <c r="G338" t="inlineStr">
        <is>
          <t>TORSÅS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44958</v>
      </c>
      <c r="E339" s="1" t="n">
        <v>46299</v>
      </c>
      <c r="F339" t="inlineStr">
        <is>
          <t>KALMAR LÄN</t>
        </is>
      </c>
      <c r="G339" t="inlineStr">
        <is>
          <t>TORSÅS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58274-2023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46299</v>
      </c>
      <c r="F340" t="inlineStr">
        <is>
          <t>KALMAR LÄN</t>
        </is>
      </c>
      <c r="G340" t="inlineStr">
        <is>
          <t>TORSÅS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58441-2023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46299</v>
      </c>
      <c r="F341" t="inlineStr">
        <is>
          <t>KALMAR LÄN</t>
        </is>
      </c>
      <c r="G341" t="inlineStr">
        <is>
          <t>TORSÅS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46272</v>
      </c>
      <c r="E342" s="1" t="n">
        <v>46299</v>
      </c>
      <c r="F342" t="inlineStr">
        <is>
          <t>KALMAR LÄN</t>
        </is>
      </c>
      <c r="G342" t="inlineStr">
        <is>
          <t>TORSÅS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45243</v>
      </c>
      <c r="E343" s="1" t="n">
        <v>46299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46278</v>
      </c>
      <c r="E344" s="1" t="n">
        <v>46299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26491-2022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44739</v>
      </c>
      <c r="E345" s="1" t="n">
        <v>46299</v>
      </c>
      <c r="F345" t="inlineStr">
        <is>
          <t>KALMAR LÄN</t>
        </is>
      </c>
      <c r="G345" t="inlineStr">
        <is>
          <t>TORSÅS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46299</v>
      </c>
      <c r="F346" t="inlineStr">
        <is>
          <t>KALMAR LÄN</t>
        </is>
      </c>
      <c r="G346" t="inlineStr">
        <is>
          <t>TORSÅS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45113</v>
      </c>
      <c r="E347" s="1" t="n">
        <v>46299</v>
      </c>
      <c r="F347" t="inlineStr">
        <is>
          <t>KALMAR LÄN</t>
        </is>
      </c>
      <c r="G347" t="inlineStr">
        <is>
          <t>TORSÅS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44722</v>
      </c>
      <c r="E348" s="1" t="n">
        <v>46299</v>
      </c>
      <c r="F348" t="inlineStr">
        <is>
          <t>KALMAR LÄN</t>
        </is>
      </c>
      <c r="G348" t="inlineStr">
        <is>
          <t>TORSÅS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46280</v>
      </c>
      <c r="E349" s="1" t="n">
        <v>46299</v>
      </c>
      <c r="F349" t="inlineStr">
        <is>
          <t>KALMAR LÄN</t>
        </is>
      </c>
      <c r="G349" t="inlineStr">
        <is>
          <t>TORSÅS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44977</v>
      </c>
      <c r="E350" s="1" t="n">
        <v>46299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33939-2022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44790</v>
      </c>
      <c r="E351" s="1" t="n">
        <v>46299</v>
      </c>
      <c r="F351" t="inlineStr">
        <is>
          <t>KALMAR LÄN</t>
        </is>
      </c>
      <c r="G351" t="inlineStr">
        <is>
          <t>TORSÅS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53337-2024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45614</v>
      </c>
      <c r="E352" s="1" t="n">
        <v>46299</v>
      </c>
      <c r="F352" t="inlineStr">
        <is>
          <t>KALMAR LÄN</t>
        </is>
      </c>
      <c r="G352" t="inlineStr">
        <is>
          <t>TORSÅS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46299</v>
      </c>
      <c r="F353" t="inlineStr">
        <is>
          <t>KALMAR LÄN</t>
        </is>
      </c>
      <c r="G353" t="inlineStr">
        <is>
          <t>TORSÅS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26711-2023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45093</v>
      </c>
      <c r="E354" s="1" t="n">
        <v>46299</v>
      </c>
      <c r="F354" t="inlineStr">
        <is>
          <t>KALMAR LÄN</t>
        </is>
      </c>
      <c r="G354" t="inlineStr">
        <is>
          <t>TORSÅS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26714-2023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45093</v>
      </c>
      <c r="E355" s="1" t="n">
        <v>46299</v>
      </c>
      <c r="F355" t="inlineStr">
        <is>
          <t>KALMAR LÄN</t>
        </is>
      </c>
      <c r="G355" t="inlineStr">
        <is>
          <t>TORSÅS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44949</v>
      </c>
      <c r="E356" s="1" t="n">
        <v>46299</v>
      </c>
      <c r="F356" t="inlineStr">
        <is>
          <t>KALMAR LÄN</t>
        </is>
      </c>
      <c r="G356" t="inlineStr">
        <is>
          <t>TORSÅS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39728-2024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45552</v>
      </c>
      <c r="E357" s="1" t="n">
        <v>46299</v>
      </c>
      <c r="F357" t="inlineStr">
        <is>
          <t>KALMAR LÄN</t>
        </is>
      </c>
      <c r="G357" t="inlineStr">
        <is>
          <t>TORSÅS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46286</v>
      </c>
      <c r="E358" s="1" t="n">
        <v>46299</v>
      </c>
      <c r="F358" t="inlineStr">
        <is>
          <t>KALMAR LÄN</t>
        </is>
      </c>
      <c r="G358" t="inlineStr">
        <is>
          <t>TORSÅS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44950</v>
      </c>
      <c r="E359" s="1" t="n">
        <v>46299</v>
      </c>
      <c r="F359" t="inlineStr">
        <is>
          <t>KALMAR LÄN</t>
        </is>
      </c>
      <c r="G359" t="inlineStr">
        <is>
          <t>TORSÅS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45518</v>
      </c>
      <c r="E360" s="1" t="n">
        <v>46299</v>
      </c>
      <c r="F360" t="inlineStr">
        <is>
          <t>KALMAR LÄN</t>
        </is>
      </c>
      <c r="G360" t="inlineStr">
        <is>
          <t>TORSÅS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45008</v>
      </c>
      <c r="E361" s="1" t="n">
        <v>46299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42172-2023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45178</v>
      </c>
      <c r="E362" s="1" t="n">
        <v>46299</v>
      </c>
      <c r="F362" t="inlineStr">
        <is>
          <t>KALMAR LÄN</t>
        </is>
      </c>
      <c r="G362" t="inlineStr">
        <is>
          <t>TORSÅS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12240-2022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44637</v>
      </c>
      <c r="E363" s="1" t="n">
        <v>46299</v>
      </c>
      <c r="F363" t="inlineStr">
        <is>
          <t>KALMAR LÄN</t>
        </is>
      </c>
      <c r="G363" t="inlineStr">
        <is>
          <t>TORSÅS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58038-2022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44900</v>
      </c>
      <c r="E364" s="1" t="n">
        <v>46299</v>
      </c>
      <c r="F364" t="inlineStr">
        <is>
          <t>KALMAR LÄN</t>
        </is>
      </c>
      <c r="G364" t="inlineStr">
        <is>
          <t>TORSÅS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5959-2025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45695</v>
      </c>
      <c r="E365" s="1" t="n">
        <v>46299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33244-2026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46246</v>
      </c>
      <c r="E366" s="1" t="n">
        <v>46299</v>
      </c>
      <c r="F366" t="inlineStr">
        <is>
          <t>KALMAR LÄN</t>
        </is>
      </c>
      <c r="G366" t="inlineStr">
        <is>
          <t>TORSÅS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44851</v>
      </c>
      <c r="E367" s="1" t="n">
        <v>46299</v>
      </c>
      <c r="F367" t="inlineStr">
        <is>
          <t>KALMAR LÄN</t>
        </is>
      </c>
      <c r="G367" t="inlineStr">
        <is>
          <t>TORSÅS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45982</v>
      </c>
      <c r="E368" s="1" t="n">
        <v>46299</v>
      </c>
      <c r="F368" t="inlineStr">
        <is>
          <t>KALMAR LÄN</t>
        </is>
      </c>
      <c r="G368" t="inlineStr">
        <is>
          <t>TORSÅS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66543-2021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46299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46299</v>
      </c>
      <c r="F370" t="inlineStr">
        <is>
          <t>KALMAR LÄN</t>
        </is>
      </c>
      <c r="G370" t="inlineStr">
        <is>
          <t>TORSÅS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64348-2021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44511</v>
      </c>
      <c r="E371" s="1" t="n">
        <v>46299</v>
      </c>
      <c r="F371" t="inlineStr">
        <is>
          <t>KALMAR LÄN</t>
        </is>
      </c>
      <c r="G371" t="inlineStr">
        <is>
          <t>TORSÅS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45601</v>
      </c>
      <c r="E372" s="1" t="n">
        <v>46299</v>
      </c>
      <c r="F372" t="inlineStr">
        <is>
          <t>KALMAR LÄN</t>
        </is>
      </c>
      <c r="G372" t="inlineStr">
        <is>
          <t>TORSÅS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12591-2022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44640</v>
      </c>
      <c r="E373" s="1" t="n">
        <v>46299</v>
      </c>
      <c r="F373" t="inlineStr">
        <is>
          <t>KALMAR LÄN</t>
        </is>
      </c>
      <c r="G373" t="inlineStr">
        <is>
          <t>TORSÅS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45082</v>
      </c>
      <c r="E374" s="1" t="n">
        <v>46299</v>
      </c>
      <c r="F374" t="inlineStr">
        <is>
          <t>KALMAR LÄN</t>
        </is>
      </c>
      <c r="G374" t="inlineStr">
        <is>
          <t>TORSÅS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46299</v>
      </c>
      <c r="F375" t="inlineStr">
        <is>
          <t>KALMAR LÄN</t>
        </is>
      </c>
      <c r="G375" t="inlineStr">
        <is>
          <t>TORSÅS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45426</v>
      </c>
      <c r="E376" s="1" t="n">
        <v>46299</v>
      </c>
      <c r="F376" t="inlineStr">
        <is>
          <t>KALMAR LÄN</t>
        </is>
      </c>
      <c r="G376" t="inlineStr">
        <is>
          <t>TORSÅS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46299</v>
      </c>
      <c r="F377" t="inlineStr">
        <is>
          <t>KALMAR LÄN</t>
        </is>
      </c>
      <c r="G377" t="inlineStr">
        <is>
          <t>TORSÅS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45583</v>
      </c>
      <c r="E378" s="1" t="n">
        <v>46299</v>
      </c>
      <c r="F378" t="inlineStr">
        <is>
          <t>KALMAR LÄN</t>
        </is>
      </c>
      <c r="G378" t="inlineStr">
        <is>
          <t>TORSÅS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9810-2025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45716</v>
      </c>
      <c r="E379" s="1" t="n">
        <v>46299</v>
      </c>
      <c r="F379" t="inlineStr">
        <is>
          <t>KALMAR LÄN</t>
        </is>
      </c>
      <c r="G379" t="inlineStr">
        <is>
          <t>TORSÅS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45219</v>
      </c>
      <c r="E380" s="1" t="n">
        <v>46299</v>
      </c>
      <c r="F380" t="inlineStr">
        <is>
          <t>KALMAR LÄN</t>
        </is>
      </c>
      <c r="G380" t="inlineStr">
        <is>
          <t>TORSÅS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52598-2023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45225</v>
      </c>
      <c r="E381" s="1" t="n">
        <v>46299</v>
      </c>
      <c r="F381" t="inlineStr">
        <is>
          <t>KALMAR LÄN</t>
        </is>
      </c>
      <c r="G381" t="inlineStr">
        <is>
          <t>TORSÅS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52072-2023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45223</v>
      </c>
      <c r="E382" s="1" t="n">
        <v>46299</v>
      </c>
      <c r="F382" t="inlineStr">
        <is>
          <t>KALMAR LÄN</t>
        </is>
      </c>
      <c r="G382" t="inlineStr">
        <is>
          <t>TORSÅS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64373-2023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45280</v>
      </c>
      <c r="E383" s="1" t="n">
        <v>46299</v>
      </c>
      <c r="F383" t="inlineStr">
        <is>
          <t>KALMAR LÄN</t>
        </is>
      </c>
      <c r="G383" t="inlineStr">
        <is>
          <t>TORSÅS</t>
        </is>
      </c>
      <c r="I383" t="n">
        <v>19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32525-2024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45513</v>
      </c>
      <c r="E384" s="1" t="n">
        <v>46299</v>
      </c>
      <c r="F384" t="inlineStr">
        <is>
          <t>KALMAR LÄN</t>
        </is>
      </c>
      <c r="G384" t="inlineStr">
        <is>
          <t>TORSÅS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32532-2024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45513</v>
      </c>
      <c r="E385" s="1" t="n">
        <v>46299</v>
      </c>
      <c r="F385" t="inlineStr">
        <is>
          <t>KALMAR LÄN</t>
        </is>
      </c>
      <c r="G385" t="inlineStr">
        <is>
          <t>TORSÅS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34636-2026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46255</v>
      </c>
      <c r="E386" s="1" t="n">
        <v>46299</v>
      </c>
      <c r="F386" t="inlineStr">
        <is>
          <t>KALMAR LÄN</t>
        </is>
      </c>
      <c r="G386" t="inlineStr">
        <is>
          <t>TORSÅS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45243</v>
      </c>
      <c r="E387" s="1" t="n">
        <v>46299</v>
      </c>
      <c r="F387" t="inlineStr">
        <is>
          <t>KALMAR LÄN</t>
        </is>
      </c>
      <c r="G387" t="inlineStr">
        <is>
          <t>TORSÅS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45370</v>
      </c>
      <c r="E388" s="1" t="n">
        <v>46299</v>
      </c>
      <c r="F388" t="inlineStr">
        <is>
          <t>KALMAR LÄN</t>
        </is>
      </c>
      <c r="G388" t="inlineStr">
        <is>
          <t>TORSÅS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58917-2024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45636</v>
      </c>
      <c r="E389" s="1" t="n">
        <v>46299</v>
      </c>
      <c r="F389" t="inlineStr">
        <is>
          <t>KALMAR LÄN</t>
        </is>
      </c>
      <c r="G389" t="inlineStr">
        <is>
          <t>TORSÅS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46255</v>
      </c>
      <c r="E390" s="1" t="n">
        <v>46299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45734</v>
      </c>
      <c r="E391" s="1" t="n">
        <v>46299</v>
      </c>
      <c r="F391" t="inlineStr">
        <is>
          <t>KALMAR LÄN</t>
        </is>
      </c>
      <c r="G391" t="inlineStr">
        <is>
          <t>TORSÅS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46299</v>
      </c>
      <c r="F392" t="inlineStr">
        <is>
          <t>KALMAR LÄN</t>
        </is>
      </c>
      <c r="G392" t="inlineStr">
        <is>
          <t>TORSÅS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49129-2023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45210</v>
      </c>
      <c r="E393" s="1" t="n">
        <v>46299</v>
      </c>
      <c r="F393" t="inlineStr">
        <is>
          <t>KALMAR LÄN</t>
        </is>
      </c>
      <c r="G393" t="inlineStr">
        <is>
          <t>TORSÅS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45182</v>
      </c>
      <c r="E394" s="1" t="n">
        <v>46299</v>
      </c>
      <c r="F394" t="inlineStr">
        <is>
          <t>KALMAR LÄN</t>
        </is>
      </c>
      <c r="G394" t="inlineStr">
        <is>
          <t>TORSÅS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45324</v>
      </c>
      <c r="E395" s="1" t="n">
        <v>46299</v>
      </c>
      <c r="F395" t="inlineStr">
        <is>
          <t>KALMAR LÄN</t>
        </is>
      </c>
      <c r="G395" t="inlineStr">
        <is>
          <t>TORSÅS</t>
        </is>
      </c>
      <c r="H395" t="inlineStr">
        <is>
          <t>Övriga Aktiebolag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45252</v>
      </c>
      <c r="E396" s="1" t="n">
        <v>46299</v>
      </c>
      <c r="F396" t="inlineStr">
        <is>
          <t>KALMAR LÄN</t>
        </is>
      </c>
      <c r="G396" t="inlineStr">
        <is>
          <t>TORSÅS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45474</v>
      </c>
      <c r="E397" s="1" t="n">
        <v>46299</v>
      </c>
      <c r="F397" t="inlineStr">
        <is>
          <t>KALMAR LÄN</t>
        </is>
      </c>
      <c r="G397" t="inlineStr">
        <is>
          <t>TORSÅS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44657</v>
      </c>
      <c r="E398" s="1" t="n">
        <v>46299</v>
      </c>
      <c r="F398" t="inlineStr">
        <is>
          <t>KALMAR LÄN</t>
        </is>
      </c>
      <c r="G398" t="inlineStr">
        <is>
          <t>TORSÅS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45568-2023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46299</v>
      </c>
      <c r="F399" t="inlineStr">
        <is>
          <t>KALMAR LÄN</t>
        </is>
      </c>
      <c r="G399" t="inlineStr">
        <is>
          <t>TORSÅS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46299</v>
      </c>
      <c r="F400" t="inlineStr">
        <is>
          <t>KALMAR LÄN</t>
        </is>
      </c>
      <c r="G400" t="inlineStr">
        <is>
          <t>TORSÅS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45362</v>
      </c>
      <c r="E401" s="1" t="n">
        <v>46299</v>
      </c>
      <c r="F401" t="inlineStr">
        <is>
          <t>KALMAR LÄN</t>
        </is>
      </c>
      <c r="G401" t="inlineStr">
        <is>
          <t>TORSÅS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61260-2024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46299</v>
      </c>
      <c r="F402" t="inlineStr">
        <is>
          <t>KALMAR LÄN</t>
        </is>
      </c>
      <c r="G402" t="inlineStr">
        <is>
          <t>TORSÅS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62101-2021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44502</v>
      </c>
      <c r="E403" s="1" t="n">
        <v>46299</v>
      </c>
      <c r="F403" t="inlineStr">
        <is>
          <t>KALMAR LÄN</t>
        </is>
      </c>
      <c r="G403" t="inlineStr">
        <is>
          <t>TORSÅS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45027</v>
      </c>
      <c r="E404" s="1" t="n">
        <v>46299</v>
      </c>
      <c r="F404" t="inlineStr">
        <is>
          <t>KALMAR LÄN</t>
        </is>
      </c>
      <c r="G404" t="inlineStr">
        <is>
          <t>TORSÅS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46299</v>
      </c>
      <c r="F405" t="inlineStr">
        <is>
          <t>KALMAR LÄN</t>
        </is>
      </c>
      <c r="G405" t="inlineStr">
        <is>
          <t>TORSÅS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26700-2023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46299</v>
      </c>
      <c r="F406" t="inlineStr">
        <is>
          <t>KALMAR LÄN</t>
        </is>
      </c>
      <c r="G406" t="inlineStr">
        <is>
          <t>TORSÅS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8405-2024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45352</v>
      </c>
      <c r="E407" s="1" t="n">
        <v>46299</v>
      </c>
      <c r="F407" t="inlineStr">
        <is>
          <t>KALMAR LÄN</t>
        </is>
      </c>
      <c r="G407" t="inlineStr">
        <is>
          <t>TORSÅS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46299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40046-2023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45167</v>
      </c>
      <c r="E409" s="1" t="n">
        <v>46299</v>
      </c>
      <c r="F409" t="inlineStr">
        <is>
          <t>KALMAR LÄN</t>
        </is>
      </c>
      <c r="G409" t="inlineStr">
        <is>
          <t>TORSÅS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46299</v>
      </c>
      <c r="F410" t="inlineStr">
        <is>
          <t>KALMAR LÄN</t>
        </is>
      </c>
      <c r="G410" t="inlineStr">
        <is>
          <t>TORSÅS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44986</v>
      </c>
      <c r="E411" s="1" t="n">
        <v>46299</v>
      </c>
      <c r="F411" t="inlineStr">
        <is>
          <t>KALMAR LÄN</t>
        </is>
      </c>
      <c r="G411" t="inlineStr">
        <is>
          <t>TORSÅS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46299</v>
      </c>
      <c r="F412" t="inlineStr">
        <is>
          <t>KALMAR LÄN</t>
        </is>
      </c>
      <c r="G412" t="inlineStr">
        <is>
          <t>TORSÅS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45299</v>
      </c>
      <c r="E413" s="1" t="n">
        <v>46299</v>
      </c>
      <c r="F413" t="inlineStr">
        <is>
          <t>KALMAR LÄN</t>
        </is>
      </c>
      <c r="G413" t="inlineStr">
        <is>
          <t>TORSÅS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46299</v>
      </c>
      <c r="F414" t="inlineStr">
        <is>
          <t>KALMAR LÄN</t>
        </is>
      </c>
      <c r="G414" t="inlineStr">
        <is>
          <t>TORSÅS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45694</v>
      </c>
      <c r="E415" s="1" t="n">
        <v>46299</v>
      </c>
      <c r="F415" t="inlineStr">
        <is>
          <t>KALMAR LÄN</t>
        </is>
      </c>
      <c r="G415" t="inlineStr">
        <is>
          <t>TORSÅS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45665</v>
      </c>
      <c r="E416" s="1" t="n">
        <v>46299</v>
      </c>
      <c r="F416" t="inlineStr">
        <is>
          <t>KALMAR LÄN</t>
        </is>
      </c>
      <c r="G416" t="inlineStr">
        <is>
          <t>TORSÅS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22232-2025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46299</v>
      </c>
      <c r="F417" t="inlineStr">
        <is>
          <t>KALMAR LÄN</t>
        </is>
      </c>
      <c r="G417" t="inlineStr">
        <is>
          <t>TORSÅS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45645</v>
      </c>
      <c r="E418" s="1" t="n">
        <v>46299</v>
      </c>
      <c r="F418" t="inlineStr">
        <is>
          <t>KALMAR LÄN</t>
        </is>
      </c>
      <c r="G418" t="inlineStr">
        <is>
          <t>TORSÅS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46299</v>
      </c>
      <c r="F419" t="inlineStr">
        <is>
          <t>KALMAR LÄN</t>
        </is>
      </c>
      <c r="G419" t="inlineStr">
        <is>
          <t>TORSÅS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3937-2023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45235</v>
      </c>
      <c r="E420" s="1" t="n">
        <v>46299</v>
      </c>
      <c r="F420" t="inlineStr">
        <is>
          <t>KALMAR LÄN</t>
        </is>
      </c>
      <c r="G420" t="inlineStr">
        <is>
          <t>TORSÅS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221-2024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45316</v>
      </c>
      <c r="E421" s="1" t="n">
        <v>46299</v>
      </c>
      <c r="F421" t="inlineStr">
        <is>
          <t>KALMAR LÄN</t>
        </is>
      </c>
      <c r="G421" t="inlineStr">
        <is>
          <t>TORSÅS</t>
        </is>
      </c>
      <c r="I421" t="n">
        <v>17.6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3287-2024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45527</v>
      </c>
      <c r="E422" s="1" t="n">
        <v>46299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1844-2024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46299</v>
      </c>
      <c r="F423" t="inlineStr">
        <is>
          <t>KALMAR LÄN</t>
        </is>
      </c>
      <c r="G423" t="inlineStr">
        <is>
          <t>TORSÅS</t>
        </is>
      </c>
      <c r="I423" t="n">
        <v>15.7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1824-2022</t>
        </is>
      </c>
      <c r="B424" t="inlineStr">
        <is>
          <t>samrådsanmälan</t>
        </is>
      </c>
      <c r="C424" t="inlineStr">
        <is>
          <t>Skogsbilväg</t>
        </is>
      </c>
      <c r="D424" s="1" t="n">
        <v>44658</v>
      </c>
      <c r="E424" s="1" t="n">
        <v>46299</v>
      </c>
      <c r="F424" t="inlineStr">
        <is>
          <t>KALMAR LÄN</t>
        </is>
      </c>
      <c r="G424" t="inlineStr">
        <is>
          <t>TORSÅS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46299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46299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46299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46299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46299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46299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46299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46299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46299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46299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46299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46299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46299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46299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46299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46299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46299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46299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2026-10-04T01:56:16Z</dcterms:created>
  <dcterms:modified xmlns:dcterms="http://purl.org/dc/terms/" xmlns:xsi="http://www.w3.org/2001/XMLSchema-instance" xsi:type="dcterms:W3CDTF">2026-10-04T01:56:16Z</dcterms:modified>
</cp:coreProperties>
</file>