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46268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46268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46268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46268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46268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46268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46268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46268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46268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46268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46268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46268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46268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46268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46268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46268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46268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46268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46268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46268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46268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46268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46268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46268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46268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46268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46268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46268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46268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HYPERLINK("https://klasma.github.io/Logging_0834/artfynd/A 44569-2025 artfynd.xlsx", "A 44569-2025")</f>
        <v/>
      </c>
      <c r="X34">
        <f>HYPERLINK("https://klasma.github.io/Logging_0834/kartor/A 44569-2025 karta.png", "A 44569-2025")</f>
        <v/>
      </c>
      <c r="Y34">
        <f>HYPERLINK("https://klasma.github.io/Logging_0834/kartor_geotiff/A 44569-2025 georefererad karta.tif", "A 44569-2025")</f>
        <v/>
      </c>
      <c r="AA34">
        <f>HYPERLINK("https://klasma.github.io/Logging_0834/klagomål/A 44569-2025 FSC-klagomål.docx", "A 44569-2025")</f>
        <v/>
      </c>
      <c r="AB34">
        <f>HYPERLINK("https://klasma.github.io/Logging_0834/klagomålsmail/A 44569-2025 FSC-klagomål mail.docx", "A 44569-2025")</f>
        <v/>
      </c>
      <c r="AC34">
        <f>HYPERLINK("https://klasma.github.io/Logging_0834/tillsyn/A 44569-2025 tillsynsbegäran.docx", "A 44569-2025")</f>
        <v/>
      </c>
      <c r="AD34">
        <f>HYPERLINK("https://klasma.github.io/Logging_0834/tillsynsmail/A 44569-2025 tillsynsbegäran mail.docx", "A 44569-2025")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46268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46268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46268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6611-2026 artfynd.xlsx", "A 6611-2026")</f>
        <v/>
      </c>
      <c r="X37">
        <f>HYPERLINK("https://klasma.github.io/Logging_0834/kartor/A 6611-2026 karta.png", "A 6611-2026")</f>
        <v/>
      </c>
      <c r="Y37">
        <f>HYPERLINK("https://klasma.github.io/Logging_0834/kartor_geotiff/A 6611-2026 georefererad karta.tif", "A 6611-2026")</f>
        <v/>
      </c>
      <c r="AA37">
        <f>HYPERLINK("https://klasma.github.io/Logging_0834/klagomål/A 6611-2026 FSC-klagomål.docx", "A 6611-2026")</f>
        <v/>
      </c>
      <c r="AB37">
        <f>HYPERLINK("https://klasma.github.io/Logging_0834/klagomålsmail/A 6611-2026 FSC-klagomål mail.docx", "A 6611-2026")</f>
        <v/>
      </c>
      <c r="AC37">
        <f>HYPERLINK("https://klasma.github.io/Logging_0834/tillsyn/A 6611-2026 tillsynsbegäran.docx", "A 6611-2026")</f>
        <v/>
      </c>
      <c r="AD37">
        <f>HYPERLINK("https://klasma.github.io/Logging_0834/tillsynsmail/A 6611-2026 tillsynsbegäran mail.docx", "A 6611-2026")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46268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46268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46268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46268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46268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46268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35715-2026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46265</v>
      </c>
      <c r="E44" s="1" t="n">
        <v>46268</v>
      </c>
      <c r="F44" t="inlineStr">
        <is>
          <t>KALMAR LÄN</t>
        </is>
      </c>
      <c r="G44" t="inlineStr">
        <is>
          <t>TORSÅS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35715-2026 artfynd.xlsx", "A 35715-2026")</f>
        <v/>
      </c>
      <c r="X44">
        <f>HYPERLINK("https://klasma.github.io/Logging_0834/kartor/A 35715-2026 karta.png", "A 35715-2026")</f>
        <v/>
      </c>
      <c r="Y44">
        <f>HYPERLINK("https://klasma.github.io/Logging_0834/kartor_geotiff/A 35715-2026 georefererad karta.tif", "A 35715-2026")</f>
        <v/>
      </c>
      <c r="AA44">
        <f>HYPERLINK("https://klasma.github.io/Logging_0834/klagomål/A 35715-2026 FSC-klagomål.docx", "A 35715-2026")</f>
        <v/>
      </c>
      <c r="AB44">
        <f>HYPERLINK("https://klasma.github.io/Logging_0834/klagomålsmail/A 35715-2026 FSC-klagomål mail.docx", "A 35715-2026")</f>
        <v/>
      </c>
      <c r="AC44">
        <f>HYPERLINK("https://klasma.github.io/Logging_0834/tillsyn/A 35715-2026 tillsynsbegäran.docx", "A 35715-2026")</f>
        <v/>
      </c>
      <c r="AD44">
        <f>HYPERLINK("https://klasma.github.io/Logging_0834/tillsynsmail/A 35715-2026 tillsynsbegäran mail.docx", "A 35715-2026")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46268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44226-2024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46268</v>
      </c>
      <c r="F46" t="inlineStr">
        <is>
          <t>KALMAR LÄN</t>
        </is>
      </c>
      <c r="G46" t="inlineStr">
        <is>
          <t>TORSÅS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HYPERLINK("https://klasma.github.io/Logging_0834/artfynd/A 44226-2024 artfynd.xlsx", "A 44226-2024")</f>
        <v/>
      </c>
      <c r="X46">
        <f>HYPERLINK("https://klasma.github.io/Logging_0834/kartor/A 44226-2024 karta.png", "A 44226-2024")</f>
        <v/>
      </c>
      <c r="Y46">
        <f>HYPERLINK("https://klasma.github.io/Logging_0834/kartor_geotiff/A 44226-2024 georefererad karta.tif", "A 44226-2024")</f>
        <v/>
      </c>
      <c r="AA46">
        <f>HYPERLINK("https://klasma.github.io/Logging_0834/klagomål/A 44226-2024 FSC-klagomål.docx", "A 44226-2024")</f>
        <v/>
      </c>
      <c r="AB46">
        <f>HYPERLINK("https://klasma.github.io/Logging_0834/klagomålsmail/A 44226-2024 FSC-klagomål mail.docx", "A 44226-2024")</f>
        <v/>
      </c>
      <c r="AC46">
        <f>HYPERLINK("https://klasma.github.io/Logging_0834/tillsyn/A 44226-2024 tillsynsbegäran.docx", "A 44226-2024")</f>
        <v/>
      </c>
      <c r="AD46">
        <f>HYPERLINK("https://klasma.github.io/Logging_0834/tillsynsmail/A 44226-2024 tillsynsbegäran mail.docx", "A 44226-2024")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46268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46268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46268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46268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46268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46268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46268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46268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46268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46268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46268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46268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46268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46268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46268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46268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46268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46268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46268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46268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46268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46268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46268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46268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46268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46268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46268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46268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46268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46268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46268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46268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46268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46268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46268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46268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46268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46268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46268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46268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46268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46268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46268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46268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46268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46268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46268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46268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46268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46268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46268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46268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46268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46268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46268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46268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46268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46268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65159-2023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45288</v>
      </c>
      <c r="E106" s="1" t="n">
        <v>46268</v>
      </c>
      <c r="F106" t="inlineStr">
        <is>
          <t>KALMAR LÄN</t>
        </is>
      </c>
      <c r="G106" t="inlineStr">
        <is>
          <t>TORSÅS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46268</v>
      </c>
      <c r="F107" t="inlineStr">
        <is>
          <t>KALMAR LÄN</t>
        </is>
      </c>
      <c r="G107" t="inlineStr">
        <is>
          <t>TORSÅS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45426</v>
      </c>
      <c r="E108" s="1" t="n">
        <v>46268</v>
      </c>
      <c r="F108" t="inlineStr">
        <is>
          <t>KALMAR LÄN</t>
        </is>
      </c>
      <c r="G108" t="inlineStr">
        <is>
          <t>TORSÅS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46268</v>
      </c>
      <c r="F109" t="inlineStr">
        <is>
          <t>KALMAR LÄN</t>
        </is>
      </c>
      <c r="G109" t="inlineStr">
        <is>
          <t>TORSÅS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46268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46268</v>
      </c>
      <c r="F111" t="inlineStr">
        <is>
          <t>KALMAR LÄN</t>
        </is>
      </c>
      <c r="G111" t="inlineStr">
        <is>
          <t>TORSÅS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44763</v>
      </c>
      <c r="E112" s="1" t="n">
        <v>46268</v>
      </c>
      <c r="F112" t="inlineStr">
        <is>
          <t>KALMAR LÄN</t>
        </is>
      </c>
      <c r="G112" t="inlineStr">
        <is>
          <t>TORSÅS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46268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46268</v>
      </c>
      <c r="F114" t="inlineStr">
        <is>
          <t>KALMAR LÄN</t>
        </is>
      </c>
      <c r="G114" t="inlineStr">
        <is>
          <t>TORSÅS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44949</v>
      </c>
      <c r="E115" s="1" t="n">
        <v>46268</v>
      </c>
      <c r="F115" t="inlineStr">
        <is>
          <t>KALMAR LÄN</t>
        </is>
      </c>
      <c r="G115" t="inlineStr">
        <is>
          <t>TORSÅS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46268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46268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45770</v>
      </c>
      <c r="E118" s="1" t="n">
        <v>46268</v>
      </c>
      <c r="F118" t="inlineStr">
        <is>
          <t>KALMAR LÄN</t>
        </is>
      </c>
      <c r="G118" t="inlineStr">
        <is>
          <t>TORSÅS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46268</v>
      </c>
      <c r="F119" t="inlineStr">
        <is>
          <t>KALMAR LÄN</t>
        </is>
      </c>
      <c r="G119" t="inlineStr">
        <is>
          <t>TORSÅS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44613</v>
      </c>
      <c r="E120" s="1" t="n">
        <v>46268</v>
      </c>
      <c r="F120" t="inlineStr">
        <is>
          <t>KALMAR LÄN</t>
        </is>
      </c>
      <c r="G120" t="inlineStr">
        <is>
          <t>TORSÅS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44890</v>
      </c>
      <c r="E121" s="1" t="n">
        <v>46268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46268</v>
      </c>
      <c r="F122" t="inlineStr">
        <is>
          <t>KALMAR LÄN</t>
        </is>
      </c>
      <c r="G122" t="inlineStr">
        <is>
          <t>TORSÅS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46268</v>
      </c>
      <c r="F123" t="inlineStr">
        <is>
          <t>KALMAR LÄN</t>
        </is>
      </c>
      <c r="G123" t="inlineStr">
        <is>
          <t>TORSÅS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46268</v>
      </c>
      <c r="F124" t="inlineStr">
        <is>
          <t>KALMAR LÄN</t>
        </is>
      </c>
      <c r="G124" t="inlineStr">
        <is>
          <t>TORSÅS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46268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46268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46268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46268</v>
      </c>
      <c r="F128" t="inlineStr">
        <is>
          <t>KALMAR LÄN</t>
        </is>
      </c>
      <c r="G128" t="inlineStr">
        <is>
          <t>TORSÅS</t>
        </is>
      </c>
      <c r="I128" t="n">
        <v>13.8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46268</v>
      </c>
      <c r="F129" t="inlineStr">
        <is>
          <t>KALMAR LÄN</t>
        </is>
      </c>
      <c r="G129" t="inlineStr">
        <is>
          <t>TORSÅS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46268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46268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44683</v>
      </c>
      <c r="E132" s="1" t="n">
        <v>46268</v>
      </c>
      <c r="F132" t="inlineStr">
        <is>
          <t>KALMAR LÄN</t>
        </is>
      </c>
      <c r="G132" t="inlineStr">
        <is>
          <t>TORSÅS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46268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46268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46268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46268</v>
      </c>
      <c r="F136" t="inlineStr">
        <is>
          <t>KALMAR LÄN</t>
        </is>
      </c>
      <c r="G136" t="inlineStr">
        <is>
          <t>TORSÅS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46268</v>
      </c>
      <c r="F137" t="inlineStr">
        <is>
          <t>KALMAR LÄN</t>
        </is>
      </c>
      <c r="G137" t="inlineStr">
        <is>
          <t>TORSÅS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46268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46268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46268</v>
      </c>
      <c r="F140" t="inlineStr">
        <is>
          <t>KALMAR LÄN</t>
        </is>
      </c>
      <c r="G140" t="inlineStr">
        <is>
          <t>TORSÅS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10472-2023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44987</v>
      </c>
      <c r="E141" s="1" t="n">
        <v>46268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46268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46268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45567</v>
      </c>
      <c r="E144" s="1" t="n">
        <v>46268</v>
      </c>
      <c r="F144" t="inlineStr">
        <is>
          <t>KALMAR LÄN</t>
        </is>
      </c>
      <c r="G144" t="inlineStr">
        <is>
          <t>TORSÅS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46268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46268</v>
      </c>
      <c r="F146" t="inlineStr">
        <is>
          <t>KALMAR LÄN</t>
        </is>
      </c>
      <c r="G146" t="inlineStr">
        <is>
          <t>TORSÅS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46268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46268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46268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46268</v>
      </c>
      <c r="F150" t="inlineStr">
        <is>
          <t>KALMAR LÄN</t>
        </is>
      </c>
      <c r="G150" t="inlineStr">
        <is>
          <t>TORSÅS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46268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46268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45050</v>
      </c>
      <c r="E153" s="1" t="n">
        <v>46268</v>
      </c>
      <c r="F153" t="inlineStr">
        <is>
          <t>KALMAR LÄN</t>
        </is>
      </c>
      <c r="G153" t="inlineStr">
        <is>
          <t>TORSÅS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46268</v>
      </c>
      <c r="F154" t="inlineStr">
        <is>
          <t>KALMAR LÄN</t>
        </is>
      </c>
      <c r="G154" t="inlineStr">
        <is>
          <t>TORSÅS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46268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46268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46268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28945-2025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45820</v>
      </c>
      <c r="E158" s="1" t="n">
        <v>46268</v>
      </c>
      <c r="F158" t="inlineStr">
        <is>
          <t>KALMAR LÄN</t>
        </is>
      </c>
      <c r="G158" t="inlineStr">
        <is>
          <t>TORSÅS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46268</v>
      </c>
      <c r="F159" t="inlineStr">
        <is>
          <t>KALMAR LÄN</t>
        </is>
      </c>
      <c r="G159" t="inlineStr">
        <is>
          <t>TORSÅS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46268</v>
      </c>
      <c r="F160" t="inlineStr">
        <is>
          <t>KALMAR LÄN</t>
        </is>
      </c>
      <c r="G160" t="inlineStr">
        <is>
          <t>TORSÅS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46268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46268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46268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46268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46268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46268</v>
      </c>
      <c r="F166" t="inlineStr">
        <is>
          <t>KALMAR LÄN</t>
        </is>
      </c>
      <c r="G166" t="inlineStr">
        <is>
          <t>TORSÅS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45798</v>
      </c>
      <c r="E167" s="1" t="n">
        <v>46268</v>
      </c>
      <c r="F167" t="inlineStr">
        <is>
          <t>KALMAR LÄN</t>
        </is>
      </c>
      <c r="G167" t="inlineStr">
        <is>
          <t>TORSÅS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46268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46268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46268</v>
      </c>
      <c r="F170" t="inlineStr">
        <is>
          <t>KALMAR LÄN</t>
        </is>
      </c>
      <c r="G170" t="inlineStr">
        <is>
          <t>TORSÅS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46268</v>
      </c>
      <c r="F171" t="inlineStr">
        <is>
          <t>KALMAR LÄN</t>
        </is>
      </c>
      <c r="G171" t="inlineStr">
        <is>
          <t>TORSÅS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46268</v>
      </c>
      <c r="F172" t="inlineStr">
        <is>
          <t>KALMAR LÄN</t>
        </is>
      </c>
      <c r="G172" t="inlineStr">
        <is>
          <t>TORSÅS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44980</v>
      </c>
      <c r="E173" s="1" t="n">
        <v>46268</v>
      </c>
      <c r="F173" t="inlineStr">
        <is>
          <t>KALMAR LÄN</t>
        </is>
      </c>
      <c r="G173" t="inlineStr">
        <is>
          <t>TORSÅS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45916</v>
      </c>
      <c r="E174" s="1" t="n">
        <v>46268</v>
      </c>
      <c r="F174" t="inlineStr">
        <is>
          <t>KALMAR LÄN</t>
        </is>
      </c>
      <c r="G174" t="inlineStr">
        <is>
          <t>TORSÅS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46268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46268</v>
      </c>
      <c r="F176" t="inlineStr">
        <is>
          <t>KALMAR LÄN</t>
        </is>
      </c>
      <c r="G176" t="inlineStr">
        <is>
          <t>TORSÅS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46268</v>
      </c>
      <c r="F177" t="inlineStr">
        <is>
          <t>KALMAR LÄN</t>
        </is>
      </c>
      <c r="G177" t="inlineStr">
        <is>
          <t>TORSÅS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46268</v>
      </c>
      <c r="F178" t="inlineStr">
        <is>
          <t>KALMAR LÄN</t>
        </is>
      </c>
      <c r="G178" t="inlineStr">
        <is>
          <t>TORSÅS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46268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46268</v>
      </c>
      <c r="F180" t="inlineStr">
        <is>
          <t>KALMAR LÄN</t>
        </is>
      </c>
      <c r="G180" t="inlineStr">
        <is>
          <t>TORSÅS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46268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46268</v>
      </c>
      <c r="F182" t="inlineStr">
        <is>
          <t>KALMAR LÄN</t>
        </is>
      </c>
      <c r="G182" t="inlineStr">
        <is>
          <t>TORSÅS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45860</v>
      </c>
      <c r="E183" s="1" t="n">
        <v>46268</v>
      </c>
      <c r="F183" t="inlineStr">
        <is>
          <t>KALMAR LÄN</t>
        </is>
      </c>
      <c r="G183" t="inlineStr">
        <is>
          <t>TORSÅS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46268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46268</v>
      </c>
      <c r="F185" t="inlineStr">
        <is>
          <t>KALMAR LÄN</t>
        </is>
      </c>
      <c r="G185" t="inlineStr">
        <is>
          <t>TORSÅS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46268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46268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46268</v>
      </c>
      <c r="F188" t="inlineStr">
        <is>
          <t>KALMAR LÄN</t>
        </is>
      </c>
      <c r="G188" t="inlineStr">
        <is>
          <t>TORSÅS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45869</v>
      </c>
      <c r="E189" s="1" t="n">
        <v>46268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45869</v>
      </c>
      <c r="E190" s="1" t="n">
        <v>46268</v>
      </c>
      <c r="F190" t="inlineStr">
        <is>
          <t>KALMAR LÄN</t>
        </is>
      </c>
      <c r="G190" t="inlineStr">
        <is>
          <t>TORSÅS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45869</v>
      </c>
      <c r="E191" s="1" t="n">
        <v>46268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46268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45225</v>
      </c>
      <c r="E193" s="1" t="n">
        <v>46268</v>
      </c>
      <c r="F193" t="inlineStr">
        <is>
          <t>KALMAR LÄN</t>
        </is>
      </c>
      <c r="G193" t="inlineStr">
        <is>
          <t>TORSÅS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45583</v>
      </c>
      <c r="E194" s="1" t="n">
        <v>46268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46268</v>
      </c>
      <c r="F195" t="inlineStr">
        <is>
          <t>KALMAR LÄN</t>
        </is>
      </c>
      <c r="G195" t="inlineStr">
        <is>
          <t>TORSÅS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46268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37626-2025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45880</v>
      </c>
      <c r="E197" s="1" t="n">
        <v>46268</v>
      </c>
      <c r="F197" t="inlineStr">
        <is>
          <t>KALMAR LÄN</t>
        </is>
      </c>
      <c r="G197" t="inlineStr">
        <is>
          <t>TORSÅS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46268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46268</v>
      </c>
      <c r="F199" t="inlineStr">
        <is>
          <t>KALMAR LÄN</t>
        </is>
      </c>
      <c r="G199" t="inlineStr">
        <is>
          <t>TORSÅS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44965</v>
      </c>
      <c r="E200" s="1" t="n">
        <v>46268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46268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46268</v>
      </c>
      <c r="F202" t="inlineStr">
        <is>
          <t>KALMAR LÄN</t>
        </is>
      </c>
      <c r="G202" t="inlineStr">
        <is>
          <t>TORSÅS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46268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46268</v>
      </c>
      <c r="F204" t="inlineStr">
        <is>
          <t>KALMAR LÄN</t>
        </is>
      </c>
      <c r="G204" t="inlineStr">
        <is>
          <t>TORSÅS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46268</v>
      </c>
      <c r="F205" t="inlineStr">
        <is>
          <t>KALMAR LÄN</t>
        </is>
      </c>
      <c r="G205" t="inlineStr">
        <is>
          <t>TORSÅS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46268</v>
      </c>
      <c r="F206" t="inlineStr">
        <is>
          <t>KALMAR LÄN</t>
        </is>
      </c>
      <c r="G206" t="inlineStr">
        <is>
          <t>TORSÅS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46268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46268</v>
      </c>
      <c r="F208" t="inlineStr">
        <is>
          <t>KALMAR LÄN</t>
        </is>
      </c>
      <c r="G208" t="inlineStr">
        <is>
          <t>TORSÅS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46268</v>
      </c>
      <c r="F209" t="inlineStr">
        <is>
          <t>KALMAR LÄN</t>
        </is>
      </c>
      <c r="G209" t="inlineStr">
        <is>
          <t>TORSÅS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44795</v>
      </c>
      <c r="E210" s="1" t="n">
        <v>46268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46268</v>
      </c>
      <c r="F211" t="inlineStr">
        <is>
          <t>KALMAR LÄN</t>
        </is>
      </c>
      <c r="G211" t="inlineStr">
        <is>
          <t>TORSÅS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44795</v>
      </c>
      <c r="E212" s="1" t="n">
        <v>46268</v>
      </c>
      <c r="F212" t="inlineStr">
        <is>
          <t>KALMAR LÄN</t>
        </is>
      </c>
      <c r="G212" t="inlineStr">
        <is>
          <t>TORSÅS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46268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46268</v>
      </c>
      <c r="F214" t="inlineStr">
        <is>
          <t>KALMAR LÄN</t>
        </is>
      </c>
      <c r="G214" t="inlineStr">
        <is>
          <t>TORSÅS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46268</v>
      </c>
      <c r="F215" t="inlineStr">
        <is>
          <t>KALMAR LÄN</t>
        </is>
      </c>
      <c r="G215" t="inlineStr">
        <is>
          <t>TORSÅS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46268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46268</v>
      </c>
      <c r="F217" t="inlineStr">
        <is>
          <t>KALMAR LÄN</t>
        </is>
      </c>
      <c r="G217" t="inlineStr">
        <is>
          <t>TORSÅS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44671</v>
      </c>
      <c r="E218" s="1" t="n">
        <v>46268</v>
      </c>
      <c r="F218" t="inlineStr">
        <is>
          <t>KALMAR LÄN</t>
        </is>
      </c>
      <c r="G218" t="inlineStr">
        <is>
          <t>TORSÅS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45145</v>
      </c>
      <c r="E219" s="1" t="n">
        <v>46268</v>
      </c>
      <c r="F219" t="inlineStr">
        <is>
          <t>KALMAR LÄN</t>
        </is>
      </c>
      <c r="G219" t="inlineStr">
        <is>
          <t>TORSÅS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46268</v>
      </c>
      <c r="F220" t="inlineStr">
        <is>
          <t>KALMAR LÄN</t>
        </is>
      </c>
      <c r="G220" t="inlineStr">
        <is>
          <t>TORSÅS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46268</v>
      </c>
      <c r="F221" t="inlineStr">
        <is>
          <t>KALMAR LÄN</t>
        </is>
      </c>
      <c r="G221" t="inlineStr">
        <is>
          <t>TORSÅS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46268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46268</v>
      </c>
      <c r="F223" t="inlineStr">
        <is>
          <t>KALMAR LÄN</t>
        </is>
      </c>
      <c r="G223" t="inlineStr">
        <is>
          <t>TORSÅS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46268</v>
      </c>
      <c r="F224" t="inlineStr">
        <is>
          <t>KALMAR LÄN</t>
        </is>
      </c>
      <c r="G224" t="inlineStr">
        <is>
          <t>TORSÅS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46268</v>
      </c>
      <c r="F225" t="inlineStr">
        <is>
          <t>KALMAR LÄN</t>
        </is>
      </c>
      <c r="G225" t="inlineStr">
        <is>
          <t>TORSÅS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46083</v>
      </c>
      <c r="E226" s="1" t="n">
        <v>46268</v>
      </c>
      <c r="F226" t="inlineStr">
        <is>
          <t>KALMAR LÄN</t>
        </is>
      </c>
      <c r="G226" t="inlineStr">
        <is>
          <t>TORSÅS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46268</v>
      </c>
      <c r="F227" t="inlineStr">
        <is>
          <t>KALMAR LÄN</t>
        </is>
      </c>
      <c r="G227" t="inlineStr">
        <is>
          <t>TORSÅS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45335</v>
      </c>
      <c r="E228" s="1" t="n">
        <v>46268</v>
      </c>
      <c r="F228" t="inlineStr">
        <is>
          <t>KALMAR LÄN</t>
        </is>
      </c>
      <c r="G228" t="inlineStr">
        <is>
          <t>TORSÅS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59130-2025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45988</v>
      </c>
      <c r="E229" s="1" t="n">
        <v>46268</v>
      </c>
      <c r="F229" t="inlineStr">
        <is>
          <t>KALMAR LÄN</t>
        </is>
      </c>
      <c r="G229" t="inlineStr">
        <is>
          <t>TORSÅS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46268</v>
      </c>
      <c r="F230" t="inlineStr">
        <is>
          <t>KALMAR LÄN</t>
        </is>
      </c>
      <c r="G230" t="inlineStr">
        <is>
          <t>TORSÅS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46268</v>
      </c>
      <c r="F231" t="inlineStr">
        <is>
          <t>KALMAR LÄN</t>
        </is>
      </c>
      <c r="G231" t="inlineStr">
        <is>
          <t>TORSÅS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46268</v>
      </c>
      <c r="F232" t="inlineStr">
        <is>
          <t>KALMAR LÄN</t>
        </is>
      </c>
      <c r="G232" t="inlineStr">
        <is>
          <t>TORSÅS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12944-2026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46268</v>
      </c>
      <c r="F233" t="inlineStr">
        <is>
          <t>KALMAR LÄN</t>
        </is>
      </c>
      <c r="G233" t="inlineStr">
        <is>
          <t>TORSÅS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46268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45224</v>
      </c>
      <c r="E235" s="1" t="n">
        <v>46268</v>
      </c>
      <c r="F235" t="inlineStr">
        <is>
          <t>KALMAR LÄN</t>
        </is>
      </c>
      <c r="G235" t="inlineStr">
        <is>
          <t>TORSÅS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46268</v>
      </c>
      <c r="F236" t="inlineStr">
        <is>
          <t>KALMAR LÄN</t>
        </is>
      </c>
      <c r="G236" t="inlineStr">
        <is>
          <t>TORSÅS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46268</v>
      </c>
      <c r="F237" t="inlineStr">
        <is>
          <t>KALMAR LÄN</t>
        </is>
      </c>
      <c r="G237" t="inlineStr">
        <is>
          <t>TORSÅS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45016</v>
      </c>
      <c r="E238" s="1" t="n">
        <v>46268</v>
      </c>
      <c r="F238" t="inlineStr">
        <is>
          <t>KALMAR LÄN</t>
        </is>
      </c>
      <c r="G238" t="inlineStr">
        <is>
          <t>TORSÅS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46268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59284-2021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44490</v>
      </c>
      <c r="E240" s="1" t="n">
        <v>46268</v>
      </c>
      <c r="F240" t="inlineStr">
        <is>
          <t>KALMAR LÄN</t>
        </is>
      </c>
      <c r="G240" t="inlineStr">
        <is>
          <t>TORSÅS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45408</v>
      </c>
      <c r="E241" s="1" t="n">
        <v>46268</v>
      </c>
      <c r="F241" t="inlineStr">
        <is>
          <t>KALMAR LÄN</t>
        </is>
      </c>
      <c r="G241" t="inlineStr">
        <is>
          <t>TORSÅS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46268</v>
      </c>
      <c r="F242" t="inlineStr">
        <is>
          <t>KALMAR LÄN</t>
        </is>
      </c>
      <c r="G242" t="inlineStr">
        <is>
          <t>TORSÅS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45447</v>
      </c>
      <c r="E243" s="1" t="n">
        <v>46268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46268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46268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46268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21577-2022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44706</v>
      </c>
      <c r="E247" s="1" t="n">
        <v>46268</v>
      </c>
      <c r="F247" t="inlineStr">
        <is>
          <t>KALMAR LÄN</t>
        </is>
      </c>
      <c r="G247" t="inlineStr">
        <is>
          <t>TORSÅS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44942</v>
      </c>
      <c r="E248" s="1" t="n">
        <v>46268</v>
      </c>
      <c r="F248" t="inlineStr">
        <is>
          <t>KALMAR LÄN</t>
        </is>
      </c>
      <c r="G248" t="inlineStr">
        <is>
          <t>TORSÅS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46268</v>
      </c>
      <c r="F249" t="inlineStr">
        <is>
          <t>KALMAR LÄN</t>
        </is>
      </c>
      <c r="G249" t="inlineStr">
        <is>
          <t>TORSÅS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44998</v>
      </c>
      <c r="E250" s="1" t="n">
        <v>46268</v>
      </c>
      <c r="F250" t="inlineStr">
        <is>
          <t>KALMAR LÄN</t>
        </is>
      </c>
      <c r="G250" t="inlineStr">
        <is>
          <t>TORSÅS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46268</v>
      </c>
      <c r="F251" t="inlineStr">
        <is>
          <t>KALMAR LÄN</t>
        </is>
      </c>
      <c r="G251" t="inlineStr">
        <is>
          <t>TORSÅS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44965</v>
      </c>
      <c r="E252" s="1" t="n">
        <v>46268</v>
      </c>
      <c r="F252" t="inlineStr">
        <is>
          <t>KALMAR LÄN</t>
        </is>
      </c>
      <c r="G252" t="inlineStr">
        <is>
          <t>TORSÅS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45132</v>
      </c>
      <c r="E253" s="1" t="n">
        <v>46268</v>
      </c>
      <c r="F253" t="inlineStr">
        <is>
          <t>KALMAR LÄN</t>
        </is>
      </c>
      <c r="G253" t="inlineStr">
        <is>
          <t>TORSÅS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46268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46268</v>
      </c>
      <c r="F255" t="inlineStr">
        <is>
          <t>KALMAR LÄN</t>
        </is>
      </c>
      <c r="G255" t="inlineStr">
        <is>
          <t>TORSÅS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46268</v>
      </c>
      <c r="F256" t="inlineStr">
        <is>
          <t>KALMAR LÄN</t>
        </is>
      </c>
      <c r="G256" t="inlineStr">
        <is>
          <t>TORSÅS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46268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46268</v>
      </c>
      <c r="F258" t="inlineStr">
        <is>
          <t>KALMAR LÄN</t>
        </is>
      </c>
      <c r="G258" t="inlineStr">
        <is>
          <t>TORSÅS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46268</v>
      </c>
      <c r="F259" t="inlineStr">
        <is>
          <t>KALMAR LÄN</t>
        </is>
      </c>
      <c r="G259" t="inlineStr">
        <is>
          <t>TORSÅS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46268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45001</v>
      </c>
      <c r="E261" s="1" t="n">
        <v>46268</v>
      </c>
      <c r="F261" t="inlineStr">
        <is>
          <t>KALMAR LÄN</t>
        </is>
      </c>
      <c r="G261" t="inlineStr">
        <is>
          <t>TORSÅS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46268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46268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46268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46268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46268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60055-2021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44495</v>
      </c>
      <c r="E267" s="1" t="n">
        <v>46268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46268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45425</v>
      </c>
      <c r="E269" s="1" t="n">
        <v>46268</v>
      </c>
      <c r="F269" t="inlineStr">
        <is>
          <t>KALMAR LÄN</t>
        </is>
      </c>
      <c r="G269" t="inlineStr">
        <is>
          <t>TORSÅS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46268</v>
      </c>
      <c r="F270" t="inlineStr">
        <is>
          <t>KALMAR LÄN</t>
        </is>
      </c>
      <c r="G270" t="inlineStr">
        <is>
          <t>TORSÅS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46268</v>
      </c>
      <c r="F271" t="inlineStr">
        <is>
          <t>KALMAR LÄN</t>
        </is>
      </c>
      <c r="G271" t="inlineStr">
        <is>
          <t>TORSÅS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46268</v>
      </c>
      <c r="F272" t="inlineStr">
        <is>
          <t>KALMAR LÄN</t>
        </is>
      </c>
      <c r="G272" t="inlineStr">
        <is>
          <t>TORSÅS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65155-2023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45288</v>
      </c>
      <c r="E273" s="1" t="n">
        <v>46268</v>
      </c>
      <c r="F273" t="inlineStr">
        <is>
          <t>KALMAR LÄN</t>
        </is>
      </c>
      <c r="G273" t="inlineStr">
        <is>
          <t>TORSÅS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46268</v>
      </c>
      <c r="F274" t="inlineStr">
        <is>
          <t>KALMAR LÄN</t>
        </is>
      </c>
      <c r="G274" t="inlineStr">
        <is>
          <t>TORSÅS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46268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46268</v>
      </c>
      <c r="F276" t="inlineStr">
        <is>
          <t>KALMAR LÄN</t>
        </is>
      </c>
      <c r="G276" t="inlineStr">
        <is>
          <t>TORSÅS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46268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46268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46268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46268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46268</v>
      </c>
      <c r="F281" t="inlineStr">
        <is>
          <t>KALMAR LÄN</t>
        </is>
      </c>
      <c r="G281" t="inlineStr">
        <is>
          <t>TORSÅS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44694</v>
      </c>
      <c r="E282" s="1" t="n">
        <v>46268</v>
      </c>
      <c r="F282" t="inlineStr">
        <is>
          <t>KALMAR LÄN</t>
        </is>
      </c>
      <c r="G282" t="inlineStr">
        <is>
          <t>TORSÅS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45308</v>
      </c>
      <c r="E283" s="1" t="n">
        <v>46268</v>
      </c>
      <c r="F283" t="inlineStr">
        <is>
          <t>KALMAR LÄN</t>
        </is>
      </c>
      <c r="G283" t="inlineStr">
        <is>
          <t>TORSÅS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46268</v>
      </c>
      <c r="F284" t="inlineStr">
        <is>
          <t>KALMAR LÄN</t>
        </is>
      </c>
      <c r="G284" t="inlineStr">
        <is>
          <t>TORSÅS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44988</v>
      </c>
      <c r="E285" s="1" t="n">
        <v>46268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46268</v>
      </c>
      <c r="F286" t="inlineStr">
        <is>
          <t>KALMAR LÄN</t>
        </is>
      </c>
      <c r="G286" t="inlineStr">
        <is>
          <t>TORSÅS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41566-2022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46268</v>
      </c>
      <c r="F287" t="inlineStr">
        <is>
          <t>KALMAR LÄN</t>
        </is>
      </c>
      <c r="G287" t="inlineStr">
        <is>
          <t>TORSÅS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46268</v>
      </c>
      <c r="F288" t="inlineStr">
        <is>
          <t>KALMAR LÄN</t>
        </is>
      </c>
      <c r="G288" t="inlineStr">
        <is>
          <t>TORSÅS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46268</v>
      </c>
      <c r="F289" t="inlineStr">
        <is>
          <t>KALMAR LÄN</t>
        </is>
      </c>
      <c r="G289" t="inlineStr">
        <is>
          <t>TORSÅS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46268</v>
      </c>
      <c r="F290" t="inlineStr">
        <is>
          <t>KALMAR LÄN</t>
        </is>
      </c>
      <c r="G290" t="inlineStr">
        <is>
          <t>TORSÅS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46268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46268</v>
      </c>
      <c r="F292" t="inlineStr">
        <is>
          <t>KALMAR LÄN</t>
        </is>
      </c>
      <c r="G292" t="inlineStr">
        <is>
          <t>TORSÅS</t>
        </is>
      </c>
      <c r="I292" t="n">
        <v>15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46268</v>
      </c>
      <c r="F293" t="inlineStr">
        <is>
          <t>KALMAR LÄN</t>
        </is>
      </c>
      <c r="G293" t="inlineStr">
        <is>
          <t>TORSÅS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44943</v>
      </c>
      <c r="E294" s="1" t="n">
        <v>46268</v>
      </c>
      <c r="F294" t="inlineStr">
        <is>
          <t>KALMAR LÄN</t>
        </is>
      </c>
      <c r="G294" t="inlineStr">
        <is>
          <t>TORSÅS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54741-2022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44883</v>
      </c>
      <c r="E295" s="1" t="n">
        <v>46268</v>
      </c>
      <c r="F295" t="inlineStr">
        <is>
          <t>KALMAR LÄN</t>
        </is>
      </c>
      <c r="G295" t="inlineStr">
        <is>
          <t>TORSÅS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44949</v>
      </c>
      <c r="E296" s="1" t="n">
        <v>46268</v>
      </c>
      <c r="F296" t="inlineStr">
        <is>
          <t>KALMAR LÄN</t>
        </is>
      </c>
      <c r="G296" t="inlineStr">
        <is>
          <t>TORSÅS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46268</v>
      </c>
      <c r="F297" t="inlineStr">
        <is>
          <t>KALMAR LÄN</t>
        </is>
      </c>
      <c r="G297" t="inlineStr">
        <is>
          <t>TORSÅS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45155</v>
      </c>
      <c r="E298" s="1" t="n">
        <v>46268</v>
      </c>
      <c r="F298" t="inlineStr">
        <is>
          <t>KALMAR LÄN</t>
        </is>
      </c>
      <c r="G298" t="inlineStr">
        <is>
          <t>TORSÅS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45201</v>
      </c>
      <c r="E299" s="1" t="n">
        <v>46268</v>
      </c>
      <c r="F299" t="inlineStr">
        <is>
          <t>KALMAR LÄN</t>
        </is>
      </c>
      <c r="G299" t="inlineStr">
        <is>
          <t>TORSÅS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46268</v>
      </c>
      <c r="F300" t="inlineStr">
        <is>
          <t>KALMAR LÄN</t>
        </is>
      </c>
      <c r="G300" t="inlineStr">
        <is>
          <t>TORSÅS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46268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55675-2021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44476</v>
      </c>
      <c r="E302" s="1" t="n">
        <v>46268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46268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44958</v>
      </c>
      <c r="E304" s="1" t="n">
        <v>46268</v>
      </c>
      <c r="F304" t="inlineStr">
        <is>
          <t>KALMAR LÄN</t>
        </is>
      </c>
      <c r="G304" t="inlineStr">
        <is>
          <t>TORSÅS</t>
        </is>
      </c>
      <c r="H304" t="inlineStr">
        <is>
          <t>Övriga Aktiebolag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46268</v>
      </c>
      <c r="F305" t="inlineStr">
        <is>
          <t>KALMAR LÄN</t>
        </is>
      </c>
      <c r="G305" t="inlineStr">
        <is>
          <t>TORSÅS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46268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46268</v>
      </c>
      <c r="F307" t="inlineStr">
        <is>
          <t>KALMAR LÄN</t>
        </is>
      </c>
      <c r="G307" t="inlineStr">
        <is>
          <t>TORSÅS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46268</v>
      </c>
      <c r="F308" t="inlineStr">
        <is>
          <t>KALMAR LÄN</t>
        </is>
      </c>
      <c r="G308" t="inlineStr">
        <is>
          <t>TORSÅS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46268</v>
      </c>
      <c r="F309" t="inlineStr">
        <is>
          <t>KALMAR LÄN</t>
        </is>
      </c>
      <c r="G309" t="inlineStr">
        <is>
          <t>TORSÅS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46268</v>
      </c>
      <c r="F310" t="inlineStr">
        <is>
          <t>KALMAR LÄN</t>
        </is>
      </c>
      <c r="G310" t="inlineStr">
        <is>
          <t>TORSÅS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68493-2021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46268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46268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46268</v>
      </c>
      <c r="F313" t="inlineStr">
        <is>
          <t>KALMAR LÄN</t>
        </is>
      </c>
      <c r="G313" t="inlineStr">
        <is>
          <t>TORSÅS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46268</v>
      </c>
      <c r="F314" t="inlineStr">
        <is>
          <t>KALMAR LÄN</t>
        </is>
      </c>
      <c r="G314" t="inlineStr">
        <is>
          <t>TORSÅS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46268</v>
      </c>
      <c r="F315" t="inlineStr">
        <is>
          <t>KALMAR LÄN</t>
        </is>
      </c>
      <c r="G315" t="inlineStr">
        <is>
          <t>TORSÅS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46268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45546</v>
      </c>
      <c r="E317" s="1" t="n">
        <v>46268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46268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46268</v>
      </c>
      <c r="F319" t="inlineStr">
        <is>
          <t>KALMAR LÄN</t>
        </is>
      </c>
      <c r="G319" t="inlineStr">
        <is>
          <t>TORSÅS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46268</v>
      </c>
      <c r="F320" t="inlineStr">
        <is>
          <t>KALMAR LÄN</t>
        </is>
      </c>
      <c r="G320" t="inlineStr">
        <is>
          <t>TORSÅS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46268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45288</v>
      </c>
      <c r="E322" s="1" t="n">
        <v>46268</v>
      </c>
      <c r="F322" t="inlineStr">
        <is>
          <t>KALMAR LÄN</t>
        </is>
      </c>
      <c r="G322" t="inlineStr">
        <is>
          <t>TORSÅS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46268</v>
      </c>
      <c r="F323" t="inlineStr">
        <is>
          <t>KALMAR LÄN</t>
        </is>
      </c>
      <c r="G323" t="inlineStr">
        <is>
          <t>TORSÅS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46268</v>
      </c>
      <c r="F324" t="inlineStr">
        <is>
          <t>KALMAR LÄN</t>
        </is>
      </c>
      <c r="G324" t="inlineStr">
        <is>
          <t>TORSÅS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46268</v>
      </c>
      <c r="F325" t="inlineStr">
        <is>
          <t>KALMAR LÄN</t>
        </is>
      </c>
      <c r="G325" t="inlineStr">
        <is>
          <t>TORSÅS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46268</v>
      </c>
      <c r="F326" t="inlineStr">
        <is>
          <t>KALMAR LÄN</t>
        </is>
      </c>
      <c r="G326" t="inlineStr">
        <is>
          <t>TORSÅS</t>
        </is>
      </c>
      <c r="I326" t="n">
        <v>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46268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46268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46268</v>
      </c>
      <c r="F329" t="inlineStr">
        <is>
          <t>KALMAR LÄN</t>
        </is>
      </c>
      <c r="G329" t="inlineStr">
        <is>
          <t>TORSÅS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46268</v>
      </c>
      <c r="F330" t="inlineStr">
        <is>
          <t>KALMAR LÄN</t>
        </is>
      </c>
      <c r="G330" t="inlineStr">
        <is>
          <t>TORSÅS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46268</v>
      </c>
      <c r="F331" t="inlineStr">
        <is>
          <t>KALMAR LÄN</t>
        </is>
      </c>
      <c r="G331" t="inlineStr">
        <is>
          <t>TORSÅS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25072-2026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46174</v>
      </c>
      <c r="E332" s="1" t="n">
        <v>46268</v>
      </c>
      <c r="F332" t="inlineStr">
        <is>
          <t>KALMAR LÄN</t>
        </is>
      </c>
      <c r="G332" t="inlineStr">
        <is>
          <t>TORSÅS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46268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45084</v>
      </c>
      <c r="E334" s="1" t="n">
        <v>46268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46268</v>
      </c>
      <c r="F335" t="inlineStr">
        <is>
          <t>KALMAR LÄN</t>
        </is>
      </c>
      <c r="G335" t="inlineStr">
        <is>
          <t>TORSÅS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53571-2021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44468</v>
      </c>
      <c r="E336" s="1" t="n">
        <v>46268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44958</v>
      </c>
      <c r="E337" s="1" t="n">
        <v>46268</v>
      </c>
      <c r="F337" t="inlineStr">
        <is>
          <t>KALMAR LÄN</t>
        </is>
      </c>
      <c r="G337" t="inlineStr">
        <is>
          <t>TORSÅS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46268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46268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46268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46268</v>
      </c>
      <c r="F341" t="inlineStr">
        <is>
          <t>KALMAR LÄN</t>
        </is>
      </c>
      <c r="G341" t="inlineStr">
        <is>
          <t>TORSÅS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26491-2022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44739</v>
      </c>
      <c r="E342" s="1" t="n">
        <v>46268</v>
      </c>
      <c r="F342" t="inlineStr">
        <is>
          <t>KALMAR LÄN</t>
        </is>
      </c>
      <c r="G342" t="inlineStr">
        <is>
          <t>TORSÅS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46268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46268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46268</v>
      </c>
      <c r="F345" t="inlineStr">
        <is>
          <t>KALMAR LÄN</t>
        </is>
      </c>
      <c r="G345" t="inlineStr">
        <is>
          <t>TORSÅS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50208-2021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44457</v>
      </c>
      <c r="E346" s="1" t="n">
        <v>46268</v>
      </c>
      <c r="F346" t="inlineStr">
        <is>
          <t>KALMAR LÄN</t>
        </is>
      </c>
      <c r="G346" t="inlineStr">
        <is>
          <t>TORSÅS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46268</v>
      </c>
      <c r="F347" t="inlineStr">
        <is>
          <t>KALMAR LÄN</t>
        </is>
      </c>
      <c r="G347" t="inlineStr">
        <is>
          <t>TORSÅS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46268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33939-2022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44790</v>
      </c>
      <c r="E349" s="1" t="n">
        <v>46268</v>
      </c>
      <c r="F349" t="inlineStr">
        <is>
          <t>KALMAR LÄN</t>
        </is>
      </c>
      <c r="G349" t="inlineStr">
        <is>
          <t>TORSÅS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45614</v>
      </c>
      <c r="E350" s="1" t="n">
        <v>46268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44985</v>
      </c>
      <c r="E351" s="1" t="n">
        <v>46268</v>
      </c>
      <c r="F351" t="inlineStr">
        <is>
          <t>KALMAR LÄN</t>
        </is>
      </c>
      <c r="G351" t="inlineStr">
        <is>
          <t>TORSÅS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46268</v>
      </c>
      <c r="F352" t="inlineStr">
        <is>
          <t>KALMAR LÄN</t>
        </is>
      </c>
      <c r="G352" t="inlineStr">
        <is>
          <t>TORSÅS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45093</v>
      </c>
      <c r="E353" s="1" t="n">
        <v>46268</v>
      </c>
      <c r="F353" t="inlineStr">
        <is>
          <t>KALMAR LÄN</t>
        </is>
      </c>
      <c r="G353" t="inlineStr">
        <is>
          <t>TORSÅS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44949</v>
      </c>
      <c r="E354" s="1" t="n">
        <v>46268</v>
      </c>
      <c r="F354" t="inlineStr">
        <is>
          <t>KALMAR LÄN</t>
        </is>
      </c>
      <c r="G354" t="inlineStr">
        <is>
          <t>TORSÅS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39728-2024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45552</v>
      </c>
      <c r="E355" s="1" t="n">
        <v>46268</v>
      </c>
      <c r="F355" t="inlineStr">
        <is>
          <t>KALMAR LÄN</t>
        </is>
      </c>
      <c r="G355" t="inlineStr">
        <is>
          <t>TORSÅS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46268</v>
      </c>
      <c r="F356" t="inlineStr">
        <is>
          <t>KALMAR LÄN</t>
        </is>
      </c>
      <c r="G356" t="inlineStr">
        <is>
          <t>TORSÅS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46268</v>
      </c>
      <c r="F357" t="inlineStr">
        <is>
          <t>KALMAR LÄN</t>
        </is>
      </c>
      <c r="G357" t="inlineStr">
        <is>
          <t>TORSÅS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45518</v>
      </c>
      <c r="E358" s="1" t="n">
        <v>46268</v>
      </c>
      <c r="F358" t="inlineStr">
        <is>
          <t>KALMAR LÄN</t>
        </is>
      </c>
      <c r="G358" t="inlineStr">
        <is>
          <t>TORSÅS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46268</v>
      </c>
      <c r="F359" t="inlineStr">
        <is>
          <t>KALMAR LÄN</t>
        </is>
      </c>
      <c r="G359" t="inlineStr">
        <is>
          <t>TORSÅS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45178</v>
      </c>
      <c r="E360" s="1" t="n">
        <v>46268</v>
      </c>
      <c r="F360" t="inlineStr">
        <is>
          <t>KALMAR LÄN</t>
        </is>
      </c>
      <c r="G360" t="inlineStr">
        <is>
          <t>TORSÅS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12240-2022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44637</v>
      </c>
      <c r="E361" s="1" t="n">
        <v>46268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46268</v>
      </c>
      <c r="F362" t="inlineStr">
        <is>
          <t>KALMAR LÄN</t>
        </is>
      </c>
      <c r="G362" t="inlineStr">
        <is>
          <t>TORSÅS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46268</v>
      </c>
      <c r="F363" t="inlineStr">
        <is>
          <t>KALMAR LÄN</t>
        </is>
      </c>
      <c r="G363" t="inlineStr">
        <is>
          <t>TORSÅS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44851</v>
      </c>
      <c r="E364" s="1" t="n">
        <v>46268</v>
      </c>
      <c r="F364" t="inlineStr">
        <is>
          <t>KALMAR LÄN</t>
        </is>
      </c>
      <c r="G364" t="inlineStr">
        <is>
          <t>TORSÅS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66543-2021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46268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44511</v>
      </c>
      <c r="E366" s="1" t="n">
        <v>46268</v>
      </c>
      <c r="F366" t="inlineStr">
        <is>
          <t>KALMAR LÄN</t>
        </is>
      </c>
      <c r="G366" t="inlineStr">
        <is>
          <t>TORSÅS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46268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44640</v>
      </c>
      <c r="E368" s="1" t="n">
        <v>46268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46268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46268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46268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46268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46268</v>
      </c>
      <c r="F373" t="inlineStr">
        <is>
          <t>KALMAR LÄN</t>
        </is>
      </c>
      <c r="G373" t="inlineStr">
        <is>
          <t>TORSÅS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46268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46268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45225</v>
      </c>
      <c r="E376" s="1" t="n">
        <v>46268</v>
      </c>
      <c r="F376" t="inlineStr">
        <is>
          <t>KALMAR LÄN</t>
        </is>
      </c>
      <c r="G376" t="inlineStr">
        <is>
          <t>TORSÅS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46268</v>
      </c>
      <c r="F377" t="inlineStr">
        <is>
          <t>KALMAR LÄN</t>
        </is>
      </c>
      <c r="G377" t="inlineStr">
        <is>
          <t>TORSÅS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52072-2023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45223</v>
      </c>
      <c r="E378" s="1" t="n">
        <v>46268</v>
      </c>
      <c r="F378" t="inlineStr">
        <is>
          <t>KALMAR LÄN</t>
        </is>
      </c>
      <c r="G378" t="inlineStr">
        <is>
          <t>TORSÅS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46268</v>
      </c>
      <c r="F379" t="inlineStr">
        <is>
          <t>KALMAR LÄN</t>
        </is>
      </c>
      <c r="G379" t="inlineStr">
        <is>
          <t>TORSÅS</t>
        </is>
      </c>
      <c r="I379" t="n">
        <v>12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64373-2023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46268</v>
      </c>
      <c r="F380" t="inlineStr">
        <is>
          <t>KALMAR LÄN</t>
        </is>
      </c>
      <c r="G380" t="inlineStr">
        <is>
          <t>TORSÅS</t>
        </is>
      </c>
      <c r="I380" t="n">
        <v>19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32525-2024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45513</v>
      </c>
      <c r="E381" s="1" t="n">
        <v>46268</v>
      </c>
      <c r="F381" t="inlineStr">
        <is>
          <t>KALMAR LÄN</t>
        </is>
      </c>
      <c r="G381" t="inlineStr">
        <is>
          <t>TORSÅS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32532-2024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45513</v>
      </c>
      <c r="E382" s="1" t="n">
        <v>46268</v>
      </c>
      <c r="F382" t="inlineStr">
        <is>
          <t>KALMAR LÄN</t>
        </is>
      </c>
      <c r="G382" t="inlineStr">
        <is>
          <t>TORSÅS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46268</v>
      </c>
      <c r="F383" t="inlineStr">
        <is>
          <t>KALMAR LÄN</t>
        </is>
      </c>
      <c r="G383" t="inlineStr">
        <is>
          <t>TORSÅS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45370</v>
      </c>
      <c r="E384" s="1" t="n">
        <v>46268</v>
      </c>
      <c r="F384" t="inlineStr">
        <is>
          <t>KALMAR LÄN</t>
        </is>
      </c>
      <c r="G384" t="inlineStr">
        <is>
          <t>TORSÅS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58917-2024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46268</v>
      </c>
      <c r="F385" t="inlineStr">
        <is>
          <t>KALMAR LÄN</t>
        </is>
      </c>
      <c r="G385" t="inlineStr">
        <is>
          <t>TORSÅS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45734</v>
      </c>
      <c r="E386" s="1" t="n">
        <v>46268</v>
      </c>
      <c r="F386" t="inlineStr">
        <is>
          <t>KALMAR LÄN</t>
        </is>
      </c>
      <c r="G386" t="inlineStr">
        <is>
          <t>TORSÅS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49129-2023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46268</v>
      </c>
      <c r="F387" t="inlineStr">
        <is>
          <t>KALMAR LÄN</t>
        </is>
      </c>
      <c r="G387" t="inlineStr">
        <is>
          <t>TORSÅS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34636-2026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46268</v>
      </c>
      <c r="F388" t="inlineStr">
        <is>
          <t>KALMAR LÄN</t>
        </is>
      </c>
      <c r="G388" t="inlineStr">
        <is>
          <t>TORSÅS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46268</v>
      </c>
      <c r="F389" t="inlineStr">
        <is>
          <t>KALMAR LÄN</t>
        </is>
      </c>
      <c r="G389" t="inlineStr">
        <is>
          <t>TORSÅS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46268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45324</v>
      </c>
      <c r="E391" s="1" t="n">
        <v>46268</v>
      </c>
      <c r="F391" t="inlineStr">
        <is>
          <t>KALMAR LÄN</t>
        </is>
      </c>
      <c r="G391" t="inlineStr">
        <is>
          <t>TORSÅS</t>
        </is>
      </c>
      <c r="H391" t="inlineStr">
        <is>
          <t>Övriga Aktiebolag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46268</v>
      </c>
      <c r="F392" t="inlineStr">
        <is>
          <t>KALMAR LÄN</t>
        </is>
      </c>
      <c r="G392" t="inlineStr">
        <is>
          <t>TORSÅS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46268</v>
      </c>
      <c r="F393" t="inlineStr">
        <is>
          <t>KALMAR LÄN</t>
        </is>
      </c>
      <c r="G393" t="inlineStr">
        <is>
          <t>TORSÅS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46268</v>
      </c>
      <c r="F394" t="inlineStr">
        <is>
          <t>KALMAR LÄN</t>
        </is>
      </c>
      <c r="G394" t="inlineStr">
        <is>
          <t>TORSÅS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44657</v>
      </c>
      <c r="E395" s="1" t="n">
        <v>46268</v>
      </c>
      <c r="F395" t="inlineStr">
        <is>
          <t>KALMAR LÄN</t>
        </is>
      </c>
      <c r="G395" t="inlineStr">
        <is>
          <t>TORSÅS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45194</v>
      </c>
      <c r="E396" s="1" t="n">
        <v>46268</v>
      </c>
      <c r="F396" t="inlineStr">
        <is>
          <t>KALMAR LÄN</t>
        </is>
      </c>
      <c r="G396" t="inlineStr">
        <is>
          <t>TORSÅS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46260</v>
      </c>
      <c r="E397" s="1" t="n">
        <v>46268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46268</v>
      </c>
      <c r="F398" t="inlineStr">
        <is>
          <t>KALMAR LÄN</t>
        </is>
      </c>
      <c r="G398" t="inlineStr">
        <is>
          <t>TORSÅS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46217</v>
      </c>
      <c r="E399" s="1" t="n">
        <v>46268</v>
      </c>
      <c r="F399" t="inlineStr">
        <is>
          <t>KALMAR LÄN</t>
        </is>
      </c>
      <c r="G399" t="inlineStr">
        <is>
          <t>TORSÅS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45362</v>
      </c>
      <c r="E400" s="1" t="n">
        <v>46268</v>
      </c>
      <c r="F400" t="inlineStr">
        <is>
          <t>KALMAR LÄN</t>
        </is>
      </c>
      <c r="G400" t="inlineStr">
        <is>
          <t>TORSÅS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45645</v>
      </c>
      <c r="E401" s="1" t="n">
        <v>46268</v>
      </c>
      <c r="F401" t="inlineStr">
        <is>
          <t>KALMAR LÄN</t>
        </is>
      </c>
      <c r="G401" t="inlineStr">
        <is>
          <t>TORSÅS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62101-2021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44502</v>
      </c>
      <c r="E402" s="1" t="n">
        <v>46268</v>
      </c>
      <c r="F402" t="inlineStr">
        <is>
          <t>KALMAR LÄN</t>
        </is>
      </c>
      <c r="G402" t="inlineStr">
        <is>
          <t>TORSÅS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46218</v>
      </c>
      <c r="E403" s="1" t="n">
        <v>46268</v>
      </c>
      <c r="F403" t="inlineStr">
        <is>
          <t>KALMAR LÄN</t>
        </is>
      </c>
      <c r="G403" t="inlineStr">
        <is>
          <t>TORSÅS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46218</v>
      </c>
      <c r="E404" s="1" t="n">
        <v>46268</v>
      </c>
      <c r="F404" t="inlineStr">
        <is>
          <t>KALMAR LÄN</t>
        </is>
      </c>
      <c r="G404" t="inlineStr">
        <is>
          <t>TORSÅS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45027</v>
      </c>
      <c r="E405" s="1" t="n">
        <v>46268</v>
      </c>
      <c r="F405" t="inlineStr">
        <is>
          <t>KALMAR LÄN</t>
        </is>
      </c>
      <c r="G405" t="inlineStr">
        <is>
          <t>TORSÅS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46268</v>
      </c>
      <c r="F406" t="inlineStr">
        <is>
          <t>KALMAR LÄN</t>
        </is>
      </c>
      <c r="G406" t="inlineStr">
        <is>
          <t>TORSÅS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45323</v>
      </c>
      <c r="E407" s="1" t="n">
        <v>46268</v>
      </c>
      <c r="F407" t="inlineStr">
        <is>
          <t>KALMAR LÄN</t>
        </is>
      </c>
      <c r="G407" t="inlineStr">
        <is>
          <t>TORSÅS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45093</v>
      </c>
      <c r="E408" s="1" t="n">
        <v>46268</v>
      </c>
      <c r="F408" t="inlineStr">
        <is>
          <t>KALMAR LÄN</t>
        </is>
      </c>
      <c r="G408" t="inlineStr">
        <is>
          <t>TORSÅS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46268</v>
      </c>
      <c r="F409" t="inlineStr">
        <is>
          <t>KALMAR LÄN</t>
        </is>
      </c>
      <c r="G409" t="inlineStr">
        <is>
          <t>TORSÅS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45352</v>
      </c>
      <c r="E410" s="1" t="n">
        <v>46268</v>
      </c>
      <c r="F410" t="inlineStr">
        <is>
          <t>KALMAR LÄN</t>
        </is>
      </c>
      <c r="G410" t="inlineStr">
        <is>
          <t>TORSÅS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46265</v>
      </c>
      <c r="E411" s="1" t="n">
        <v>46268</v>
      </c>
      <c r="F411" t="inlineStr">
        <is>
          <t>KALMAR LÄN</t>
        </is>
      </c>
      <c r="G411" t="inlineStr">
        <is>
          <t>TORSÅS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45198</v>
      </c>
      <c r="E412" s="1" t="n">
        <v>46268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46268</v>
      </c>
      <c r="F413" t="inlineStr">
        <is>
          <t>KALMAR LÄN</t>
        </is>
      </c>
      <c r="G413" t="inlineStr">
        <is>
          <t>TORSÅS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46268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45977</v>
      </c>
      <c r="E415" s="1" t="n">
        <v>46268</v>
      </c>
      <c r="F415" t="inlineStr">
        <is>
          <t>KALMAR LÄN</t>
        </is>
      </c>
      <c r="G415" t="inlineStr">
        <is>
          <t>TORSÅS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44986</v>
      </c>
      <c r="E416" s="1" t="n">
        <v>46268</v>
      </c>
      <c r="F416" t="inlineStr">
        <is>
          <t>KALMAR LÄN</t>
        </is>
      </c>
      <c r="G416" t="inlineStr">
        <is>
          <t>TORSÅS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46268</v>
      </c>
      <c r="F417" t="inlineStr">
        <is>
          <t>KALMAR LÄN</t>
        </is>
      </c>
      <c r="G417" t="inlineStr">
        <is>
          <t>TORSÅS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46268</v>
      </c>
      <c r="F418" t="inlineStr">
        <is>
          <t>KALMAR LÄN</t>
        </is>
      </c>
      <c r="G418" t="inlineStr">
        <is>
          <t>TORSÅS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45474</v>
      </c>
      <c r="E419" s="1" t="n">
        <v>46268</v>
      </c>
      <c r="F419" t="inlineStr">
        <is>
          <t>KALMAR LÄN</t>
        </is>
      </c>
      <c r="G419" t="inlineStr">
        <is>
          <t>TORSÅS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45694</v>
      </c>
      <c r="E420" s="1" t="n">
        <v>46268</v>
      </c>
      <c r="F420" t="inlineStr">
        <is>
          <t>KALMAR LÄN</t>
        </is>
      </c>
      <c r="G420" t="inlineStr">
        <is>
          <t>TORSÅS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46268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46268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46268</v>
      </c>
      <c r="F423" t="inlineStr">
        <is>
          <t>KALMAR LÄN</t>
        </is>
      </c>
      <c r="G423" t="inlineStr">
        <is>
          <t>TORSÅS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45012</v>
      </c>
      <c r="E424" s="1" t="n">
        <v>46268</v>
      </c>
      <c r="F424" t="inlineStr">
        <is>
          <t>KALMAR LÄN</t>
        </is>
      </c>
      <c r="G424" t="inlineStr">
        <is>
          <t>TORSÅS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45330</v>
      </c>
      <c r="E425" s="1" t="n">
        <v>46268</v>
      </c>
      <c r="F425" t="inlineStr">
        <is>
          <t>KALMAR LÄN</t>
        </is>
      </c>
      <c r="G425" t="inlineStr">
        <is>
          <t>TORSÅS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46268</v>
      </c>
      <c r="F426" t="inlineStr">
        <is>
          <t>KALMAR LÄN</t>
        </is>
      </c>
      <c r="G426" t="inlineStr">
        <is>
          <t>TORSÅS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17523-2022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44679</v>
      </c>
      <c r="E427" s="1" t="n">
        <v>46268</v>
      </c>
      <c r="F427" t="inlineStr">
        <is>
          <t>KALMAR LÄN</t>
        </is>
      </c>
      <c r="G427" t="inlineStr">
        <is>
          <t>TORSÅS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45527</v>
      </c>
      <c r="E428" s="1" t="n">
        <v>46268</v>
      </c>
      <c r="F428" t="inlineStr">
        <is>
          <t>KALMAR LÄN</t>
        </is>
      </c>
      <c r="G428" t="inlineStr">
        <is>
          <t>TORSÅS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45665</v>
      </c>
      <c r="E429" s="1" t="n">
        <v>46268</v>
      </c>
      <c r="F429" t="inlineStr">
        <is>
          <t>KALMAR LÄN</t>
        </is>
      </c>
      <c r="G429" t="inlineStr">
        <is>
          <t>TORSÅS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46268</v>
      </c>
      <c r="F430" t="inlineStr">
        <is>
          <t>KALMAR LÄN</t>
        </is>
      </c>
      <c r="G430" t="inlineStr">
        <is>
          <t>TORSÅS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39306-2024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46268</v>
      </c>
      <c r="F431" t="inlineStr">
        <is>
          <t>KALMAR LÄN</t>
        </is>
      </c>
      <c r="G431" t="inlineStr">
        <is>
          <t>TORSÅS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3937-2023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45235</v>
      </c>
      <c r="E432" s="1" t="n">
        <v>46268</v>
      </c>
      <c r="F432" t="inlineStr">
        <is>
          <t>KALMAR LÄN</t>
        </is>
      </c>
      <c r="G432" t="inlineStr">
        <is>
          <t>TORSÅS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221-2024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45316</v>
      </c>
      <c r="E433" s="1" t="n">
        <v>46268</v>
      </c>
      <c r="F433" t="inlineStr">
        <is>
          <t>KALMAR LÄN</t>
        </is>
      </c>
      <c r="G433" t="inlineStr">
        <is>
          <t>TORSÅS</t>
        </is>
      </c>
      <c r="I433" t="n">
        <v>17.6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3287-2024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45527</v>
      </c>
      <c r="E434" s="1" t="n">
        <v>46268</v>
      </c>
      <c r="F434" t="inlineStr">
        <is>
          <t>KALMAR LÄN</t>
        </is>
      </c>
      <c r="G434" t="inlineStr">
        <is>
          <t>TORSÅS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1844-2024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46268</v>
      </c>
      <c r="F435" t="inlineStr">
        <is>
          <t>KALMAR LÄN</t>
        </is>
      </c>
      <c r="G435" t="inlineStr">
        <is>
          <t>TORSÅS</t>
        </is>
      </c>
      <c r="I435" t="n">
        <v>15.7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1824-2022</t>
        </is>
      </c>
      <c r="B436" t="inlineStr">
        <is>
          <t>samrådsanmälan</t>
        </is>
      </c>
      <c r="C436" t="inlineStr">
        <is>
          <t>Skogsbilväg</t>
        </is>
      </c>
      <c r="D436" s="1" t="n">
        <v>44658</v>
      </c>
      <c r="E436" s="1" t="n">
        <v>46268</v>
      </c>
      <c r="F436" t="inlineStr">
        <is>
          <t>KALMAR LÄN</t>
        </is>
      </c>
      <c r="G436" t="inlineStr">
        <is>
          <t>TORSÅS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46268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46268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46268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46268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46268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46268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46268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46268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46268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46268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46268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46268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46268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46268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46268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46268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46268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46268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46268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2026-09-03T02:06:50Z</dcterms:created>
  <dcterms:modified xmlns:dcterms="http://purl.org/dc/terms/" xmlns:xsi="http://www.w3.org/2001/XMLSchema-instance" xsi:type="dcterms:W3CDTF">2026-09-03T02:06:51Z</dcterms:modified>
</cp:coreProperties>
</file>