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46292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46292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46292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46292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46292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356-2024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45330</v>
      </c>
      <c r="E13" s="1" t="n">
        <v>46292</v>
      </c>
      <c r="F13" t="inlineStr">
        <is>
          <t>KALMAR LÄN</t>
        </is>
      </c>
      <c r="G13" t="inlineStr">
        <is>
          <t>TORSÅS</t>
        </is>
      </c>
      <c r="I13" t="n">
        <v>34.4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Slåttergubbe
Jungfrulin
Solvända</t>
        </is>
      </c>
      <c r="W13">
        <f>HYPERLINK("https://klasma.github.io/Logging_0834/artfynd/S 356-2024 artfynd.xlsx", "S 356-2024")</f>
        <v/>
      </c>
      <c r="X13">
        <f>HYPERLINK("https://klasma.github.io/Logging_0834/kartor/S 356-2024 karta.png", "S 356-2024")</f>
        <v/>
      </c>
      <c r="Y13">
        <f>HYPERLINK("https://klasma.github.io/Logging_0834/kartor_geotiff/S 356-2024 georefererad karta.tif", "S 356-2024")</f>
        <v/>
      </c>
      <c r="AA13">
        <f>HYPERLINK("https://klasma.github.io/Logging_0834/klagomål/S 356-2024 FSC-klagomål.docx", "S 356-2024")</f>
        <v/>
      </c>
      <c r="AB13">
        <f>HYPERLINK("https://klasma.github.io/Logging_0834/klagomålsmail/S 356-2024 FSC-klagomål mail.docx", "S 356-2024")</f>
        <v/>
      </c>
      <c r="AC13">
        <f>HYPERLINK("https://klasma.github.io/Logging_0834/tillsyn/S 356-2024 tillsynsbegäran.docx", "S 356-2024")</f>
        <v/>
      </c>
      <c r="AD13">
        <f>HYPERLINK("https://klasma.github.io/Logging_0834/tillsynsmail/S 356-2024 tillsynsbegäran mail.docx", "S 356-2024")</f>
        <v/>
      </c>
    </row>
    <row r="14" ht="15" customHeight="1">
      <c r="A14" t="inlineStr">
        <is>
          <t>S 587-2026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46084</v>
      </c>
      <c r="E14" s="1" t="n">
        <v>46292</v>
      </c>
      <c r="F14" t="inlineStr">
        <is>
          <t>KALMAR LÄN</t>
        </is>
      </c>
      <c r="G14" t="inlineStr">
        <is>
          <t>TORSÅS</t>
        </is>
      </c>
      <c r="I14" t="n">
        <v>99.40000000000001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Nordfladdermus
Bollvitmossa
Vanlig padda</t>
        </is>
      </c>
      <c r="W14">
        <f>HYPERLINK("https://klasma.github.io/Logging_0834/artfynd/S 587-2026 artfynd.xlsx", "S 587-2026")</f>
        <v/>
      </c>
      <c r="X14">
        <f>HYPERLINK("https://klasma.github.io/Logging_0834/kartor/S 587-2026 karta.png", "S 587-2026")</f>
        <v/>
      </c>
      <c r="Y14">
        <f>HYPERLINK("https://klasma.github.io/Logging_0834/kartor_geotiff/S 587-2026 georefererad karta.tif", "S 587-2026")</f>
        <v/>
      </c>
      <c r="AA14">
        <f>HYPERLINK("https://klasma.github.io/Logging_0834/klagomål/S 587-2026 FSC-klagomål.docx", "S 587-2026")</f>
        <v/>
      </c>
      <c r="AB14">
        <f>HYPERLINK("https://klasma.github.io/Logging_0834/klagomålsmail/S 587-2026 FSC-klagomål mail.docx", "S 587-2026")</f>
        <v/>
      </c>
      <c r="AC14">
        <f>HYPERLINK("https://klasma.github.io/Logging_0834/tillsyn/S 587-2026 tillsynsbegäran.docx", "S 587-2026")</f>
        <v/>
      </c>
      <c r="AD14">
        <f>HYPERLINK("https://klasma.github.io/Logging_0834/tillsynsmail/S 587-2026 tillsynsbegäran mail.docx", "S 587-2026")</f>
        <v/>
      </c>
    </row>
    <row r="15" ht="15" customHeight="1">
      <c r="A15" t="inlineStr">
        <is>
          <t>A 2063-2023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44939</v>
      </c>
      <c r="E15" s="1" t="n">
        <v>46292</v>
      </c>
      <c r="F15" t="inlineStr">
        <is>
          <t>KALMAR LÄN</t>
        </is>
      </c>
      <c r="G15" t="inlineStr">
        <is>
          <t>TORSÅS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Selleri
Kavelhirs</t>
        </is>
      </c>
      <c r="W15">
        <f>HYPERLINK("https://klasma.github.io/Logging_0834/artfynd/A 2063-2023 artfynd.xlsx", "A 2063-2023")</f>
        <v/>
      </c>
      <c r="X15">
        <f>HYPERLINK("https://klasma.github.io/Logging_0834/kartor/A 2063-2023 karta.png", "A 2063-2023")</f>
        <v/>
      </c>
      <c r="Y15">
        <f>HYPERLINK("https://klasma.github.io/Logging_0834/kartor_geotiff/A 2063-2023 georefererad karta.tif", "A 2063-2023")</f>
        <v/>
      </c>
      <c r="AA15">
        <f>HYPERLINK("https://klasma.github.io/Logging_0834/klagomål/A 2063-2023 FSC-klagomål.docx", "A 2063-2023")</f>
        <v/>
      </c>
      <c r="AB15">
        <f>HYPERLINK("https://klasma.github.io/Logging_0834/klagomålsmail/A 2063-2023 FSC-klagomål mail.docx", "A 2063-2023")</f>
        <v/>
      </c>
      <c r="AC15">
        <f>HYPERLINK("https://klasma.github.io/Logging_0834/tillsyn/A 2063-2023 tillsynsbegäran.docx", "A 2063-2023")</f>
        <v/>
      </c>
      <c r="AD15">
        <f>HYPERLINK("https://klasma.github.io/Logging_0834/tillsynsmail/A 2063-2023 tillsynsbegäran mail.docx", "A 2063-2023")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46292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46292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46292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46292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46292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46292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46292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14976-2022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44657</v>
      </c>
      <c r="E23" s="1" t="n">
        <v>46292</v>
      </c>
      <c r="F23" t="inlineStr">
        <is>
          <t>KALMAR LÄN</t>
        </is>
      </c>
      <c r="G23" t="inlineStr">
        <is>
          <t>TORSÅS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Ekoxe</t>
        </is>
      </c>
      <c r="W23">
        <f>HYPERLINK("https://klasma.github.io/Logging_0834/artfynd/A 14976-2022 artfynd.xlsx", "A 14976-2022")</f>
        <v/>
      </c>
      <c r="X23">
        <f>HYPERLINK("https://klasma.github.io/Logging_0834/kartor/A 14976-2022 karta.png", "A 14976-2022")</f>
        <v/>
      </c>
      <c r="Y23">
        <f>HYPERLINK("https://klasma.github.io/Logging_0834/kartor_geotiff/A 14976-2022 georefererad karta.tif", "A 14976-2022")</f>
        <v/>
      </c>
      <c r="AA23">
        <f>HYPERLINK("https://klasma.github.io/Logging_0834/klagomål/A 14976-2022 FSC-klagomål.docx", "A 14976-2022")</f>
        <v/>
      </c>
      <c r="AB23">
        <f>HYPERLINK("https://klasma.github.io/Logging_0834/klagomålsmail/A 14976-2022 FSC-klagomål mail.docx", "A 14976-2022")</f>
        <v/>
      </c>
      <c r="AC23">
        <f>HYPERLINK("https://klasma.github.io/Logging_0834/tillsyn/A 14976-2022 tillsynsbegäran.docx", "A 14976-2022")</f>
        <v/>
      </c>
      <c r="AD23">
        <f>HYPERLINK("https://klasma.github.io/Logging_0834/tillsynsmail/A 14976-2022 tillsynsbegäran mail.docx", "A 14976-2022")</f>
        <v/>
      </c>
    </row>
    <row r="24" ht="15" customHeight="1">
      <c r="A24" t="inlineStr">
        <is>
          <t>A 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44571</v>
      </c>
      <c r="E24" s="1" t="n">
        <v>46292</v>
      </c>
      <c r="F24" t="inlineStr">
        <is>
          <t>KALMAR LÄN</t>
        </is>
      </c>
      <c r="G24" t="inlineStr">
        <is>
          <t>TORSÅS</t>
        </is>
      </c>
      <c r="I24" t="n">
        <v>0.5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HYPERLINK("https://klasma.github.io/Logging_0834/artfynd/A 831-2022 artfynd.xlsx", "A 831-2022")</f>
        <v/>
      </c>
      <c r="X24">
        <f>HYPERLINK("https://klasma.github.io/Logging_0834/kartor/A 831-2022 karta.png", "A 831-2022")</f>
        <v/>
      </c>
      <c r="Y24">
        <f>HYPERLINK("https://klasma.github.io/Logging_0834/kartor_geotiff/A 831-2022 georefererad karta.tif", "A 831-2022")</f>
        <v/>
      </c>
      <c r="Z24">
        <f>HYPERLINK("https://klasma.github.io/Logging_0834/knärot/A 831-2022 karta knärot.png", "A 831-2022")</f>
        <v/>
      </c>
      <c r="AA24">
        <f>HYPERLINK("https://klasma.github.io/Logging_0834/klagomål/A 831-2022 FSC-klagomål.docx", "A 831-2022")</f>
        <v/>
      </c>
      <c r="AB24">
        <f>HYPERLINK("https://klasma.github.io/Logging_0834/klagomålsmail/A 831-2022 FSC-klagomål mail.docx", "A 831-2022")</f>
        <v/>
      </c>
      <c r="AC24">
        <f>HYPERLINK("https://klasma.github.io/Logging_0834/tillsyn/A 831-2022 tillsynsbegäran.docx", "A 831-2022")</f>
        <v/>
      </c>
      <c r="AD24">
        <f>HYPERLINK("https://klasma.github.io/Logging_0834/tillsynsmail/A 831-2022 tillsynsbegäran mail.docx", "A 831-2022")</f>
        <v/>
      </c>
    </row>
    <row r="25" ht="15" customHeight="1">
      <c r="A25" t="inlineStr">
        <is>
          <t>A 44226-2024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45573</v>
      </c>
      <c r="E25" s="1" t="n">
        <v>46292</v>
      </c>
      <c r="F25" t="inlineStr">
        <is>
          <t>KALMAR LÄN</t>
        </is>
      </c>
      <c r="G25" t="inlineStr">
        <is>
          <t>TORSÅS</t>
        </is>
      </c>
      <c r="H25" t="inlineStr">
        <is>
          <t>Kommuner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HYPERLINK("https://klasma.github.io/Logging_0834/artfynd/A 44226-2024 artfynd.xlsx", "A 44226-2024")</f>
        <v/>
      </c>
      <c r="X25">
        <f>HYPERLINK("https://klasma.github.io/Logging_0834/kartor/A 44226-2024 karta.png", "A 44226-2024")</f>
        <v/>
      </c>
      <c r="Y25">
        <f>HYPERLINK("https://klasma.github.io/Logging_0834/kartor_geotiff/A 44226-2024 georefererad karta.tif", "A 44226-2024")</f>
        <v/>
      </c>
      <c r="AA25">
        <f>HYPERLINK("https://klasma.github.io/Logging_0834/klagomål/A 44226-2024 FSC-klagomål.docx", "A 44226-2024")</f>
        <v/>
      </c>
      <c r="AB25">
        <f>HYPERLINK("https://klasma.github.io/Logging_0834/klagomålsmail/A 44226-2024 FSC-klagomål mail.docx", "A 44226-2024")</f>
        <v/>
      </c>
      <c r="AC25">
        <f>HYPERLINK("https://klasma.github.io/Logging_0834/tillsyn/A 44226-2024 tillsynsbegäran.docx", "A 44226-2024")</f>
        <v/>
      </c>
      <c r="AD25">
        <f>HYPERLINK("https://klasma.github.io/Logging_0834/tillsynsmail/A 44226-2024 tillsynsbegäran mail.docx", "A 44226-2024")</f>
        <v/>
      </c>
    </row>
    <row r="26" ht="15" customHeight="1">
      <c r="A26" t="inlineStr">
        <is>
          <t>A 6611-2026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46056</v>
      </c>
      <c r="E26" s="1" t="n">
        <v>46292</v>
      </c>
      <c r="F26" t="inlineStr">
        <is>
          <t>KALMAR LÄN</t>
        </is>
      </c>
      <c r="G26" t="inlineStr">
        <is>
          <t>TORSÅS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6611-2026 artfynd.xlsx", "A 6611-2026")</f>
        <v/>
      </c>
      <c r="X26">
        <f>HYPERLINK("https://klasma.github.io/Logging_0834/kartor/A 6611-2026 karta.png", "A 6611-2026")</f>
        <v/>
      </c>
      <c r="Y26">
        <f>HYPERLINK("https://klasma.github.io/Logging_0834/kartor_geotiff/A 6611-2026 georefererad karta.tif", "A 6611-2026")</f>
        <v/>
      </c>
      <c r="AA26">
        <f>HYPERLINK("https://klasma.github.io/Logging_0834/klagomål/A 6611-2026 FSC-klagomål.docx", "A 6611-2026")</f>
        <v/>
      </c>
      <c r="AB26">
        <f>HYPERLINK("https://klasma.github.io/Logging_0834/klagomålsmail/A 6611-2026 FSC-klagomål mail.docx", "A 6611-2026")</f>
        <v/>
      </c>
      <c r="AC26">
        <f>HYPERLINK("https://klasma.github.io/Logging_0834/tillsyn/A 6611-2026 tillsynsbegäran.docx", "A 6611-2026")</f>
        <v/>
      </c>
      <c r="AD26">
        <f>HYPERLINK("https://klasma.github.io/Logging_0834/tillsynsmail/A 6611-2026 tillsynsbegäran mail.docx", "A 6611-2026")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46292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11606-2026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46084</v>
      </c>
      <c r="E28" s="1" t="n">
        <v>46292</v>
      </c>
      <c r="F28" t="inlineStr">
        <is>
          <t>KALMAR LÄN</t>
        </is>
      </c>
      <c r="G28" t="inlineStr">
        <is>
          <t>TORSÅS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HYPERLINK("https://klasma.github.io/Logging_0834/artfynd/A 11606-2026 artfynd.xlsx", "A 11606-2026")</f>
        <v/>
      </c>
      <c r="X28">
        <f>HYPERLINK("https://klasma.github.io/Logging_0834/kartor/A 11606-2026 karta.png", "A 11606-2026")</f>
        <v/>
      </c>
      <c r="Y28">
        <f>HYPERLINK("https://klasma.github.io/Logging_0834/kartor_geotiff/A 11606-2026 georefererad karta.tif", "A 11606-2026")</f>
        <v/>
      </c>
      <c r="AA28">
        <f>HYPERLINK("https://klasma.github.io/Logging_0834/klagomål/A 11606-2026 FSC-klagomål.docx", "A 11606-2026")</f>
        <v/>
      </c>
      <c r="AB28">
        <f>HYPERLINK("https://klasma.github.io/Logging_0834/klagomålsmail/A 11606-2026 FSC-klagomål mail.docx", "A 11606-2026")</f>
        <v/>
      </c>
      <c r="AC28">
        <f>HYPERLINK("https://klasma.github.io/Logging_0834/tillsyn/A 11606-2026 tillsynsbegäran.docx", "A 11606-2026")</f>
        <v/>
      </c>
      <c r="AD28">
        <f>HYPERLINK("https://klasma.github.io/Logging_0834/tillsynsmail/A 11606-2026 tillsynsbegäran mail.docx", "A 11606-2026")</f>
        <v/>
      </c>
    </row>
    <row r="29" ht="15" customHeight="1">
      <c r="A29" t="inlineStr">
        <is>
          <t>A 16467-2026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46292</v>
      </c>
      <c r="F29" t="inlineStr">
        <is>
          <t>KALMAR LÄN</t>
        </is>
      </c>
      <c r="G29" t="inlineStr">
        <is>
          <t>TORSÅS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HYPERLINK("https://klasma.github.io/Logging_0834/artfynd/A 16467-2026 artfynd.xlsx", "A 16467-2026")</f>
        <v/>
      </c>
      <c r="X29">
        <f>HYPERLINK("https://klasma.github.io/Logging_0834/kartor/A 16467-2026 karta.png", "A 16467-2026")</f>
        <v/>
      </c>
      <c r="Y29">
        <f>HYPERLINK("https://klasma.github.io/Logging_0834/kartor_geotiff/A 16467-2026 georefererad karta.tif", "A 16467-2026")</f>
        <v/>
      </c>
      <c r="AA29">
        <f>HYPERLINK("https://klasma.github.io/Logging_0834/klagomål/A 16467-2026 FSC-klagomål.docx", "A 16467-2026")</f>
        <v/>
      </c>
      <c r="AB29">
        <f>HYPERLINK("https://klasma.github.io/Logging_0834/klagomålsmail/A 16467-2026 FSC-klagomål mail.docx", "A 16467-2026")</f>
        <v/>
      </c>
      <c r="AC29">
        <f>HYPERLINK("https://klasma.github.io/Logging_0834/tillsyn/A 16467-2026 tillsynsbegäran.docx", "A 16467-2026")</f>
        <v/>
      </c>
      <c r="AD29">
        <f>HYPERLINK("https://klasma.github.io/Logging_0834/tillsynsmail/A 16467-2026 tillsynsbegäran mail.docx", "A 16467-2026")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46292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46292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46292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46292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46292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46292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46292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35715-2026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46292</v>
      </c>
      <c r="F37" t="inlineStr">
        <is>
          <t>KALMAR LÄN</t>
        </is>
      </c>
      <c r="G37" t="inlineStr">
        <is>
          <t>TORSÅS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Gullviva</t>
        </is>
      </c>
      <c r="W37">
        <f>HYPERLINK("https://klasma.github.io/Logging_0834/artfynd/A 35715-2026 artfynd.xlsx", "A 35715-2026")</f>
        <v/>
      </c>
      <c r="X37">
        <f>HYPERLINK("https://klasma.github.io/Logging_0834/kartor/A 35715-2026 karta.png", "A 35715-2026")</f>
        <v/>
      </c>
      <c r="Y37">
        <f>HYPERLINK("https://klasma.github.io/Logging_0834/kartor_geotiff/A 35715-2026 georefererad karta.tif", "A 35715-2026")</f>
        <v/>
      </c>
      <c r="AA37">
        <f>HYPERLINK("https://klasma.github.io/Logging_0834/klagomål/A 35715-2026 FSC-klagomål.docx", "A 35715-2026")</f>
        <v/>
      </c>
      <c r="AB37">
        <f>HYPERLINK("https://klasma.github.io/Logging_0834/klagomålsmail/A 35715-2026 FSC-klagomål mail.docx", "A 35715-2026")</f>
        <v/>
      </c>
      <c r="AC37">
        <f>HYPERLINK("https://klasma.github.io/Logging_0834/tillsyn/A 35715-2026 tillsynsbegäran.docx", "A 35715-2026")</f>
        <v/>
      </c>
      <c r="AD37">
        <f>HYPERLINK("https://klasma.github.io/Logging_0834/tillsynsmail/A 35715-2026 tillsynsbegäran mail.docx", "A 35715-2026")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46292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46292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39699-2026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46292</v>
      </c>
      <c r="F40" t="inlineStr">
        <is>
          <t>KALMAR LÄN</t>
        </is>
      </c>
      <c r="G40" t="inlineStr">
        <is>
          <t>TORSÅS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Gullviva</t>
        </is>
      </c>
      <c r="W40">
        <f>HYPERLINK("https://klasma.github.io/Logging_0834/artfynd/A 39699-2026 artfynd.xlsx", "A 39699-2026")</f>
        <v/>
      </c>
      <c r="X40">
        <f>HYPERLINK("https://klasma.github.io/Logging_0834/kartor/A 39699-2026 karta.png", "A 39699-2026")</f>
        <v/>
      </c>
      <c r="Y40">
        <f>HYPERLINK("https://klasma.github.io/Logging_0834/kartor_geotiff/A 39699-2026 georefererad karta.tif", "A 39699-2026")</f>
        <v/>
      </c>
      <c r="AA40">
        <f>HYPERLINK("https://klasma.github.io/Logging_0834/klagomål/A 39699-2026 FSC-klagomål.docx", "A 39699-2026")</f>
        <v/>
      </c>
      <c r="AB40">
        <f>HYPERLINK("https://klasma.github.io/Logging_0834/klagomålsmail/A 39699-2026 FSC-klagomål mail.docx", "A 39699-2026")</f>
        <v/>
      </c>
      <c r="AC40">
        <f>HYPERLINK("https://klasma.github.io/Logging_0834/tillsyn/A 39699-2026 tillsynsbegäran.docx", "A 39699-2026")</f>
        <v/>
      </c>
      <c r="AD40">
        <f>HYPERLINK("https://klasma.github.io/Logging_0834/tillsynsmail/A 39699-2026 tillsynsbegäran mail.docx", "A 39699-2026")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46292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46292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46292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46292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46292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46292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46292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46292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46292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46292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46292</v>
      </c>
      <c r="F51" t="inlineStr">
        <is>
          <t>KALMAR LÄN</t>
        </is>
      </c>
      <c r="G51" t="inlineStr">
        <is>
          <t>TORSÅS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46292</v>
      </c>
      <c r="F52" t="inlineStr">
        <is>
          <t>KALMAR LÄN</t>
        </is>
      </c>
      <c r="G52" t="inlineStr">
        <is>
          <t>TORSÅS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46292</v>
      </c>
      <c r="F53" t="inlineStr">
        <is>
          <t>KALMAR LÄN</t>
        </is>
      </c>
      <c r="G53" t="inlineStr">
        <is>
          <t>TORSÅS</t>
        </is>
      </c>
      <c r="I53" t="n">
        <v>27.2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46292</v>
      </c>
      <c r="F54" t="inlineStr">
        <is>
          <t>KALMAR LÄN</t>
        </is>
      </c>
      <c r="G54" t="inlineStr">
        <is>
          <t>TORSÅS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46292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46292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46292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46292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46292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46292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46292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46292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46292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46292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46292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44467</v>
      </c>
      <c r="E66" s="1" t="n">
        <v>46292</v>
      </c>
      <c r="F66" t="inlineStr">
        <is>
          <t>KALMAR LÄN</t>
        </is>
      </c>
      <c r="G66" t="inlineStr">
        <is>
          <t>TORSÅS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46292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46292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46292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46292</v>
      </c>
      <c r="F70" t="inlineStr">
        <is>
          <t>KALMAR LÄN</t>
        </is>
      </c>
      <c r="G70" t="inlineStr">
        <is>
          <t>TORSÅS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46292</v>
      </c>
      <c r="F71" t="inlineStr">
        <is>
          <t>KALMAR LÄN</t>
        </is>
      </c>
      <c r="G71" t="inlineStr">
        <is>
          <t>TORSÅS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46292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46292</v>
      </c>
      <c r="F73" t="inlineStr">
        <is>
          <t>KALMAR LÄN</t>
        </is>
      </c>
      <c r="G73" t="inlineStr">
        <is>
          <t>TORSÅS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46292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69679-2021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46292</v>
      </c>
      <c r="F75" t="inlineStr">
        <is>
          <t>KALMAR LÄN</t>
        </is>
      </c>
      <c r="G75" t="inlineStr">
        <is>
          <t>TORSÅS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44536</v>
      </c>
      <c r="E76" s="1" t="n">
        <v>46292</v>
      </c>
      <c r="F76" t="inlineStr">
        <is>
          <t>KALMAR LÄN</t>
        </is>
      </c>
      <c r="G76" t="inlineStr">
        <is>
          <t>TORSÅS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46292</v>
      </c>
      <c r="F77" t="inlineStr">
        <is>
          <t>KALMAR LÄN</t>
        </is>
      </c>
      <c r="G77" t="inlineStr">
        <is>
          <t>TORSÅS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46292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46292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46292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46292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46292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46292</v>
      </c>
      <c r="F83" t="inlineStr">
        <is>
          <t>KALMAR LÄN</t>
        </is>
      </c>
      <c r="G83" t="inlineStr">
        <is>
          <t>TORSÅS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46292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46292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46292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46292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46292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46292</v>
      </c>
      <c r="F89" t="inlineStr">
        <is>
          <t>KALMAR LÄN</t>
        </is>
      </c>
      <c r="G89" t="inlineStr">
        <is>
          <t>TORSÅS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46292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46292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44658</v>
      </c>
      <c r="E92" s="1" t="n">
        <v>46292</v>
      </c>
      <c r="F92" t="inlineStr">
        <is>
          <t>KALMAR LÄN</t>
        </is>
      </c>
      <c r="G92" t="inlineStr">
        <is>
          <t>TORSÅS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46292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46292</v>
      </c>
      <c r="F94" t="inlineStr">
        <is>
          <t>KALMAR LÄN</t>
        </is>
      </c>
      <c r="G94" t="inlineStr">
        <is>
          <t>TORSÅS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46292</v>
      </c>
      <c r="F95" t="inlineStr">
        <is>
          <t>KALMAR LÄN</t>
        </is>
      </c>
      <c r="G95" t="inlineStr">
        <is>
          <t>TORSÅS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46292</v>
      </c>
      <c r="F96" t="inlineStr">
        <is>
          <t>KALMAR LÄN</t>
        </is>
      </c>
      <c r="G96" t="inlineStr">
        <is>
          <t>TORSÅS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44795</v>
      </c>
      <c r="E97" s="1" t="n">
        <v>46292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45532</v>
      </c>
      <c r="E98" s="1" t="n">
        <v>46292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45323</v>
      </c>
      <c r="E99" s="1" t="n">
        <v>46292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46292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46292</v>
      </c>
      <c r="F101" t="inlineStr">
        <is>
          <t>KALMAR LÄN</t>
        </is>
      </c>
      <c r="G101" t="inlineStr">
        <is>
          <t>TORSÅS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46292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46292</v>
      </c>
      <c r="F103" t="inlineStr">
        <is>
          <t>KALMAR LÄN</t>
        </is>
      </c>
      <c r="G103" t="inlineStr">
        <is>
          <t>TORSÅS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46292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46292</v>
      </c>
      <c r="F105" t="inlineStr">
        <is>
          <t>KALMAR LÄN</t>
        </is>
      </c>
      <c r="G105" t="inlineStr">
        <is>
          <t>TORSÅS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26707-2023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46292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46292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45327</v>
      </c>
      <c r="E108" s="1" t="n">
        <v>46292</v>
      </c>
      <c r="F108" t="inlineStr">
        <is>
          <t>KALMAR LÄN</t>
        </is>
      </c>
      <c r="G108" t="inlineStr">
        <is>
          <t>TORSÅS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46292</v>
      </c>
      <c r="F109" t="inlineStr">
        <is>
          <t>KALMAR LÄN</t>
        </is>
      </c>
      <c r="G109" t="inlineStr">
        <is>
          <t>TORSÅS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46292</v>
      </c>
      <c r="F110" t="inlineStr">
        <is>
          <t>KALMAR LÄN</t>
        </is>
      </c>
      <c r="G110" t="inlineStr">
        <is>
          <t>TORSÅS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46292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45308</v>
      </c>
      <c r="E112" s="1" t="n">
        <v>46292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46292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46292</v>
      </c>
      <c r="F114" t="inlineStr">
        <is>
          <t>KALMAR LÄN</t>
        </is>
      </c>
      <c r="G114" t="inlineStr">
        <is>
          <t>TORSÅS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46292</v>
      </c>
      <c r="F115" t="inlineStr">
        <is>
          <t>KALMAR LÄN</t>
        </is>
      </c>
      <c r="G115" t="inlineStr">
        <is>
          <t>TORSÅS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46292</v>
      </c>
      <c r="F116" t="inlineStr">
        <is>
          <t>KALMAR LÄN</t>
        </is>
      </c>
      <c r="G116" t="inlineStr">
        <is>
          <t>TORSÅS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44849</v>
      </c>
      <c r="E117" s="1" t="n">
        <v>46292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46292</v>
      </c>
      <c r="F118" t="inlineStr">
        <is>
          <t>KALMAR LÄN</t>
        </is>
      </c>
      <c r="G118" t="inlineStr">
        <is>
          <t>TORSÅS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46292</v>
      </c>
      <c r="F119" t="inlineStr">
        <is>
          <t>KALMAR LÄN</t>
        </is>
      </c>
      <c r="G119" t="inlineStr">
        <is>
          <t>TORSÅS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46292</v>
      </c>
      <c r="F120" t="inlineStr">
        <is>
          <t>KALMAR LÄN</t>
        </is>
      </c>
      <c r="G120" t="inlineStr">
        <is>
          <t>TORSÅS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46292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46292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44902</v>
      </c>
      <c r="E123" s="1" t="n">
        <v>46292</v>
      </c>
      <c r="F123" t="inlineStr">
        <is>
          <t>KALMAR LÄN</t>
        </is>
      </c>
      <c r="G123" t="inlineStr">
        <is>
          <t>TORSÅS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46292</v>
      </c>
      <c r="F124" t="inlineStr">
        <is>
          <t>KALMAR LÄN</t>
        </is>
      </c>
      <c r="G124" t="inlineStr">
        <is>
          <t>TORSÅS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46292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46292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46292</v>
      </c>
      <c r="F127" t="inlineStr">
        <is>
          <t>KALMAR LÄN</t>
        </is>
      </c>
      <c r="G127" t="inlineStr">
        <is>
          <t>TORSÅS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46292</v>
      </c>
      <c r="F128" t="inlineStr">
        <is>
          <t>KALMAR LÄN</t>
        </is>
      </c>
      <c r="G128" t="inlineStr">
        <is>
          <t>TORSÅS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46292</v>
      </c>
      <c r="F129" t="inlineStr">
        <is>
          <t>KALMAR LÄN</t>
        </is>
      </c>
      <c r="G129" t="inlineStr">
        <is>
          <t>TORSÅS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40298-2025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46292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46292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46292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46292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46292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46292</v>
      </c>
      <c r="F135" t="inlineStr">
        <is>
          <t>KALMAR LÄN</t>
        </is>
      </c>
      <c r="G135" t="inlineStr">
        <is>
          <t>TORSÅS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46292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46292</v>
      </c>
      <c r="F137" t="inlineStr">
        <is>
          <t>KALMAR LÄN</t>
        </is>
      </c>
      <c r="G137" t="inlineStr">
        <is>
          <t>TORSÅS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44640</v>
      </c>
      <c r="E138" s="1" t="n">
        <v>46292</v>
      </c>
      <c r="F138" t="inlineStr">
        <is>
          <t>KALMAR LÄN</t>
        </is>
      </c>
      <c r="G138" t="inlineStr">
        <is>
          <t>TORSÅS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46292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46292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46292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46292</v>
      </c>
      <c r="F142" t="inlineStr">
        <is>
          <t>KALMAR LÄN</t>
        </is>
      </c>
      <c r="G142" t="inlineStr">
        <is>
          <t>TORSÅS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46292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46292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46292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46292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46292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46292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46292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46292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46292</v>
      </c>
      <c r="F151" t="inlineStr">
        <is>
          <t>KALMAR LÄN</t>
        </is>
      </c>
      <c r="G151" t="inlineStr">
        <is>
          <t>TORSÅS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46292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46292</v>
      </c>
      <c r="F153" t="inlineStr">
        <is>
          <t>KALMAR LÄN</t>
        </is>
      </c>
      <c r="G153" t="inlineStr">
        <is>
          <t>TORSÅS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46083</v>
      </c>
      <c r="E154" s="1" t="n">
        <v>46292</v>
      </c>
      <c r="F154" t="inlineStr">
        <is>
          <t>KALMAR LÄN</t>
        </is>
      </c>
      <c r="G154" t="inlineStr">
        <is>
          <t>TORSÅS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46292</v>
      </c>
      <c r="F155" t="inlineStr">
        <is>
          <t>KALMAR LÄN</t>
        </is>
      </c>
      <c r="G155" t="inlineStr">
        <is>
          <t>TORSÅS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46292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46292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46292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46292</v>
      </c>
      <c r="F159" t="inlineStr">
        <is>
          <t>KALMAR LÄN</t>
        </is>
      </c>
      <c r="G159" t="inlineStr">
        <is>
          <t>TORSÅS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46292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46292</v>
      </c>
      <c r="F161" t="inlineStr">
        <is>
          <t>KALMAR LÄN</t>
        </is>
      </c>
      <c r="G161" t="inlineStr">
        <is>
          <t>TORSÅS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46292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44613</v>
      </c>
      <c r="E163" s="1" t="n">
        <v>46292</v>
      </c>
      <c r="F163" t="inlineStr">
        <is>
          <t>KALMAR LÄN</t>
        </is>
      </c>
      <c r="G163" t="inlineStr">
        <is>
          <t>TORSÅS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46292</v>
      </c>
      <c r="F164" t="inlineStr">
        <is>
          <t>KALMAR LÄN</t>
        </is>
      </c>
      <c r="G164" t="inlineStr">
        <is>
          <t>TORSÅS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46292</v>
      </c>
      <c r="F165" t="inlineStr">
        <is>
          <t>KALMAR LÄN</t>
        </is>
      </c>
      <c r="G165" t="inlineStr">
        <is>
          <t>TORSÅS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46292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46292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46292</v>
      </c>
      <c r="F168" t="inlineStr">
        <is>
          <t>KALMAR LÄN</t>
        </is>
      </c>
      <c r="G168" t="inlineStr">
        <is>
          <t>TORSÅS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46292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46292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46292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46292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46292</v>
      </c>
      <c r="F173" t="inlineStr">
        <is>
          <t>KALMAR LÄN</t>
        </is>
      </c>
      <c r="G173" t="inlineStr">
        <is>
          <t>TORSÅS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46292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46292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44998</v>
      </c>
      <c r="E176" s="1" t="n">
        <v>46292</v>
      </c>
      <c r="F176" t="inlineStr">
        <is>
          <t>KALMAR LÄN</t>
        </is>
      </c>
      <c r="G176" t="inlineStr">
        <is>
          <t>TORSÅS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46292</v>
      </c>
      <c r="F177" t="inlineStr">
        <is>
          <t>KALMAR LÄN</t>
        </is>
      </c>
      <c r="G177" t="inlineStr">
        <is>
          <t>TORSÅS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46292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46292</v>
      </c>
      <c r="F179" t="inlineStr">
        <is>
          <t>KALMAR LÄN</t>
        </is>
      </c>
      <c r="G179" t="inlineStr">
        <is>
          <t>TORSÅS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46292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46292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60055-2021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44495</v>
      </c>
      <c r="E182" s="1" t="n">
        <v>46292</v>
      </c>
      <c r="F182" t="inlineStr">
        <is>
          <t>KALMAR LÄN</t>
        </is>
      </c>
      <c r="G182" t="inlineStr">
        <is>
          <t>TORSÅS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46292</v>
      </c>
      <c r="F183" t="inlineStr">
        <is>
          <t>KALMAR LÄN</t>
        </is>
      </c>
      <c r="G183" t="inlineStr">
        <is>
          <t>TORSÅS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46292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46292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46292</v>
      </c>
      <c r="F186" t="inlineStr">
        <is>
          <t>KALMAR LÄN</t>
        </is>
      </c>
      <c r="G186" t="inlineStr">
        <is>
          <t>TORSÅS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46292</v>
      </c>
      <c r="F187" t="inlineStr">
        <is>
          <t>KALMAR LÄN</t>
        </is>
      </c>
      <c r="G187" t="inlineStr">
        <is>
          <t>TORSÅS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46292</v>
      </c>
      <c r="F188" t="inlineStr">
        <is>
          <t>KALMAR LÄN</t>
        </is>
      </c>
      <c r="G188" t="inlineStr">
        <is>
          <t>TORSÅS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46292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46292</v>
      </c>
      <c r="F190" t="inlineStr">
        <is>
          <t>KALMAR LÄN</t>
        </is>
      </c>
      <c r="G190" t="inlineStr">
        <is>
          <t>TORSÅS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45178</v>
      </c>
      <c r="E191" s="1" t="n">
        <v>46292</v>
      </c>
      <c r="F191" t="inlineStr">
        <is>
          <t>KALMAR LÄN</t>
        </is>
      </c>
      <c r="G191" t="inlineStr">
        <is>
          <t>TORSÅS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46292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46292</v>
      </c>
      <c r="F193" t="inlineStr">
        <is>
          <t>KALMAR LÄN</t>
        </is>
      </c>
      <c r="G193" t="inlineStr">
        <is>
          <t>TORSÅS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59130-2025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45988</v>
      </c>
      <c r="E194" s="1" t="n">
        <v>46292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45425</v>
      </c>
      <c r="E195" s="1" t="n">
        <v>46292</v>
      </c>
      <c r="F195" t="inlineStr">
        <is>
          <t>KALMAR LÄN</t>
        </is>
      </c>
      <c r="G195" t="inlineStr">
        <is>
          <t>TORSÅS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46292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44985</v>
      </c>
      <c r="E197" s="1" t="n">
        <v>46292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44694</v>
      </c>
      <c r="E198" s="1" t="n">
        <v>46292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46292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46292</v>
      </c>
      <c r="F200" t="inlineStr">
        <is>
          <t>KALMAR LÄN</t>
        </is>
      </c>
      <c r="G200" t="inlineStr">
        <is>
          <t>TORSÅS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46292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46292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46292</v>
      </c>
      <c r="F203" t="inlineStr">
        <is>
          <t>KALMAR LÄN</t>
        </is>
      </c>
      <c r="G203" t="inlineStr">
        <is>
          <t>TORSÅS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46292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46292</v>
      </c>
      <c r="F205" t="inlineStr">
        <is>
          <t>KALMAR LÄN</t>
        </is>
      </c>
      <c r="G205" t="inlineStr">
        <is>
          <t>TORSÅS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46292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46292</v>
      </c>
      <c r="F207" t="inlineStr">
        <is>
          <t>KALMAR LÄN</t>
        </is>
      </c>
      <c r="G207" t="inlineStr">
        <is>
          <t>TORSÅS</t>
        </is>
      </c>
      <c r="I207" t="n">
        <v>15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46292</v>
      </c>
      <c r="F208" t="inlineStr">
        <is>
          <t>KALMAR LÄN</t>
        </is>
      </c>
      <c r="G208" t="inlineStr">
        <is>
          <t>TORSÅS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46292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46292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28945-2025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45820</v>
      </c>
      <c r="E211" s="1" t="n">
        <v>46292</v>
      </c>
      <c r="F211" t="inlineStr">
        <is>
          <t>KALMAR LÄN</t>
        </is>
      </c>
      <c r="G211" t="inlineStr">
        <is>
          <t>TORSÅS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46292</v>
      </c>
      <c r="F212" t="inlineStr">
        <is>
          <t>KALMAR LÄN</t>
        </is>
      </c>
      <c r="G212" t="inlineStr">
        <is>
          <t>TORSÅS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46292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46292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46292</v>
      </c>
      <c r="F215" t="inlineStr">
        <is>
          <t>KALMAR LÄN</t>
        </is>
      </c>
      <c r="G215" t="inlineStr">
        <is>
          <t>TORSÅS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44763</v>
      </c>
      <c r="E216" s="1" t="n">
        <v>46292</v>
      </c>
      <c r="F216" t="inlineStr">
        <is>
          <t>KALMAR LÄN</t>
        </is>
      </c>
      <c r="G216" t="inlineStr">
        <is>
          <t>TORSÅS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46292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46292</v>
      </c>
      <c r="F218" t="inlineStr">
        <is>
          <t>KALMAR LÄN</t>
        </is>
      </c>
      <c r="G218" t="inlineStr">
        <is>
          <t>TORSÅS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46292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46292</v>
      </c>
      <c r="F220" t="inlineStr">
        <is>
          <t>KALMAR LÄN</t>
        </is>
      </c>
      <c r="G220" t="inlineStr">
        <is>
          <t>TORSÅS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46292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46292</v>
      </c>
      <c r="F222" t="inlineStr">
        <is>
          <t>KALMAR LÄN</t>
        </is>
      </c>
      <c r="G222" t="inlineStr">
        <is>
          <t>TORSÅS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46292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46292</v>
      </c>
      <c r="F224" t="inlineStr">
        <is>
          <t>KALMAR LÄN</t>
        </is>
      </c>
      <c r="G224" t="inlineStr">
        <is>
          <t>TORSÅS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44827</v>
      </c>
      <c r="E225" s="1" t="n">
        <v>46292</v>
      </c>
      <c r="F225" t="inlineStr">
        <is>
          <t>KALMAR LÄN</t>
        </is>
      </c>
      <c r="G225" t="inlineStr">
        <is>
          <t>TORSÅS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46292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46292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46292</v>
      </c>
      <c r="F228" t="inlineStr">
        <is>
          <t>KALMAR LÄN</t>
        </is>
      </c>
      <c r="G228" t="inlineStr">
        <is>
          <t>TORSÅS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46292</v>
      </c>
      <c r="F229" t="inlineStr">
        <is>
          <t>KALMAR LÄN</t>
        </is>
      </c>
      <c r="G229" t="inlineStr">
        <is>
          <t>TORSÅS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46292</v>
      </c>
      <c r="F230" t="inlineStr">
        <is>
          <t>KALMAR LÄN</t>
        </is>
      </c>
      <c r="G230" t="inlineStr">
        <is>
          <t>TORSÅS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46292</v>
      </c>
      <c r="F231" t="inlineStr">
        <is>
          <t>KALMAR LÄN</t>
        </is>
      </c>
      <c r="G231" t="inlineStr">
        <is>
          <t>TORSÅS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46292</v>
      </c>
      <c r="F232" t="inlineStr">
        <is>
          <t>KALMAR LÄN</t>
        </is>
      </c>
      <c r="G232" t="inlineStr">
        <is>
          <t>TORSÅS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44965</v>
      </c>
      <c r="E233" s="1" t="n">
        <v>46292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46292</v>
      </c>
      <c r="F234" t="inlineStr">
        <is>
          <t>KALMAR LÄN</t>
        </is>
      </c>
      <c r="G234" t="inlineStr">
        <is>
          <t>TORSÅS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46292</v>
      </c>
      <c r="F235" t="inlineStr">
        <is>
          <t>KALMAR LÄN</t>
        </is>
      </c>
      <c r="G235" t="inlineStr">
        <is>
          <t>TORSÅS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46292</v>
      </c>
      <c r="F236" t="inlineStr">
        <is>
          <t>KALMAR LÄN</t>
        </is>
      </c>
      <c r="G236" t="inlineStr">
        <is>
          <t>TORSÅS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46292</v>
      </c>
      <c r="F237" t="inlineStr">
        <is>
          <t>KALMAR LÄN</t>
        </is>
      </c>
      <c r="G237" t="inlineStr">
        <is>
          <t>TORSÅS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46292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44790</v>
      </c>
      <c r="E239" s="1" t="n">
        <v>46292</v>
      </c>
      <c r="F239" t="inlineStr">
        <is>
          <t>KALMAR LÄN</t>
        </is>
      </c>
      <c r="G239" t="inlineStr">
        <is>
          <t>TORSÅS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45860</v>
      </c>
      <c r="E240" s="1" t="n">
        <v>46292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46292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46292</v>
      </c>
      <c r="F242" t="inlineStr">
        <is>
          <t>KALMAR LÄN</t>
        </is>
      </c>
      <c r="G242" t="inlineStr">
        <is>
          <t>TORSÅS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45051</v>
      </c>
      <c r="E243" s="1" t="n">
        <v>46292</v>
      </c>
      <c r="F243" t="inlineStr">
        <is>
          <t>KALMAR LÄN</t>
        </is>
      </c>
      <c r="G243" t="inlineStr">
        <is>
          <t>TORSÅS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46292</v>
      </c>
      <c r="F244" t="inlineStr">
        <is>
          <t>KALMAR LÄN</t>
        </is>
      </c>
      <c r="G244" t="inlineStr">
        <is>
          <t>TORSÅS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43066-2024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45567</v>
      </c>
      <c r="E245" s="1" t="n">
        <v>46292</v>
      </c>
      <c r="F245" t="inlineStr">
        <is>
          <t>KALMAR LÄN</t>
        </is>
      </c>
      <c r="G245" t="inlineStr">
        <is>
          <t>TORSÅS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46292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46292</v>
      </c>
      <c r="F247" t="inlineStr">
        <is>
          <t>KALMAR LÄN</t>
        </is>
      </c>
      <c r="G247" t="inlineStr">
        <is>
          <t>TORSÅS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25072-2026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46174</v>
      </c>
      <c r="E248" s="1" t="n">
        <v>46292</v>
      </c>
      <c r="F248" t="inlineStr">
        <is>
          <t>KALMAR LÄN</t>
        </is>
      </c>
      <c r="G248" t="inlineStr">
        <is>
          <t>TORSÅS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46292</v>
      </c>
      <c r="F249" t="inlineStr">
        <is>
          <t>KALMAR LÄN</t>
        </is>
      </c>
      <c r="G249" t="inlineStr">
        <is>
          <t>TORSÅS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46292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44987</v>
      </c>
      <c r="E251" s="1" t="n">
        <v>46292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46292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46292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46292</v>
      </c>
      <c r="F254" t="inlineStr">
        <is>
          <t>KALMAR LÄN</t>
        </is>
      </c>
      <c r="G254" t="inlineStr">
        <is>
          <t>TORSÅS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46292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45869</v>
      </c>
      <c r="E256" s="1" t="n">
        <v>46292</v>
      </c>
      <c r="F256" t="inlineStr">
        <is>
          <t>KALMAR LÄN</t>
        </is>
      </c>
      <c r="G256" t="inlineStr">
        <is>
          <t>TORSÅS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46292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46292</v>
      </c>
      <c r="F258" t="inlineStr">
        <is>
          <t>KALMAR LÄN</t>
        </is>
      </c>
      <c r="G258" t="inlineStr">
        <is>
          <t>TORSÅS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45016</v>
      </c>
      <c r="E259" s="1" t="n">
        <v>46292</v>
      </c>
      <c r="F259" t="inlineStr">
        <is>
          <t>KALMAR LÄN</t>
        </is>
      </c>
      <c r="G259" t="inlineStr">
        <is>
          <t>TORSÅS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32525-2024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45513</v>
      </c>
      <c r="E260" s="1" t="n">
        <v>46292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32532-2024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45513</v>
      </c>
      <c r="E261" s="1" t="n">
        <v>46292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23963-2026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46292</v>
      </c>
      <c r="F262" t="inlineStr">
        <is>
          <t>KALMAR LÄN</t>
        </is>
      </c>
      <c r="G262" t="inlineStr">
        <is>
          <t>TORSÅS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45440</v>
      </c>
      <c r="E263" s="1" t="n">
        <v>46292</v>
      </c>
      <c r="F263" t="inlineStr">
        <is>
          <t>KALMAR LÄN</t>
        </is>
      </c>
      <c r="G263" t="inlineStr">
        <is>
          <t>TORSÅS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45734</v>
      </c>
      <c r="E264" s="1" t="n">
        <v>46292</v>
      </c>
      <c r="F264" t="inlineStr">
        <is>
          <t>KALMAR LÄN</t>
        </is>
      </c>
      <c r="G264" t="inlineStr">
        <is>
          <t>TORSÅS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46292</v>
      </c>
      <c r="F265" t="inlineStr">
        <is>
          <t>KALMAR LÄN</t>
        </is>
      </c>
      <c r="G265" t="inlineStr">
        <is>
          <t>TORSÅS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44967</v>
      </c>
      <c r="E266" s="1" t="n">
        <v>46292</v>
      </c>
      <c r="F266" t="inlineStr">
        <is>
          <t>KALMAR LÄN</t>
        </is>
      </c>
      <c r="G266" t="inlineStr">
        <is>
          <t>TORSÅS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45330</v>
      </c>
      <c r="E267" s="1" t="n">
        <v>46292</v>
      </c>
      <c r="F267" t="inlineStr">
        <is>
          <t>KALMAR LÄN</t>
        </is>
      </c>
      <c r="G267" t="inlineStr">
        <is>
          <t>TORSÅS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46292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46292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46292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70315-2021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44536</v>
      </c>
      <c r="E271" s="1" t="n">
        <v>46292</v>
      </c>
      <c r="F271" t="inlineStr">
        <is>
          <t>KALMAR LÄN</t>
        </is>
      </c>
      <c r="G271" t="inlineStr">
        <is>
          <t>TORSÅS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46292</v>
      </c>
      <c r="F272" t="inlineStr">
        <is>
          <t>KALMAR LÄN</t>
        </is>
      </c>
      <c r="G272" t="inlineStr">
        <is>
          <t>TORSÅS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45880</v>
      </c>
      <c r="E273" s="1" t="n">
        <v>46292</v>
      </c>
      <c r="F273" t="inlineStr">
        <is>
          <t>KALMAR LÄN</t>
        </is>
      </c>
      <c r="G273" t="inlineStr">
        <is>
          <t>TORSÅS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46292</v>
      </c>
      <c r="F274" t="inlineStr">
        <is>
          <t>KALMAR LÄN</t>
        </is>
      </c>
      <c r="G274" t="inlineStr">
        <is>
          <t>TORSÅS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45713</v>
      </c>
      <c r="E275" s="1" t="n">
        <v>46292</v>
      </c>
      <c r="F275" t="inlineStr">
        <is>
          <t>KALMAR LÄN</t>
        </is>
      </c>
      <c r="G275" t="inlineStr">
        <is>
          <t>TORSÅS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46292</v>
      </c>
      <c r="F276" t="inlineStr">
        <is>
          <t>KALMAR LÄN</t>
        </is>
      </c>
      <c r="G276" t="inlineStr">
        <is>
          <t>TORSÅS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46292</v>
      </c>
      <c r="F277" t="inlineStr">
        <is>
          <t>KALMAR LÄN</t>
        </is>
      </c>
      <c r="G277" t="inlineStr">
        <is>
          <t>TORSÅS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45063</v>
      </c>
      <c r="E278" s="1" t="n">
        <v>46292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46292</v>
      </c>
      <c r="F279" t="inlineStr">
        <is>
          <t>KALMAR LÄN</t>
        </is>
      </c>
      <c r="G279" t="inlineStr">
        <is>
          <t>TORSÅS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45027</v>
      </c>
      <c r="E280" s="1" t="n">
        <v>46292</v>
      </c>
      <c r="F280" t="inlineStr">
        <is>
          <t>KALMAR LÄN</t>
        </is>
      </c>
      <c r="G280" t="inlineStr">
        <is>
          <t>TORSÅS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46292</v>
      </c>
      <c r="F281" t="inlineStr">
        <is>
          <t>KALMAR LÄN</t>
        </is>
      </c>
      <c r="G281" t="inlineStr">
        <is>
          <t>TORSÅS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44795</v>
      </c>
      <c r="E282" s="1" t="n">
        <v>46292</v>
      </c>
      <c r="F282" t="inlineStr">
        <is>
          <t>KALMAR LÄN</t>
        </is>
      </c>
      <c r="G282" t="inlineStr">
        <is>
          <t>TORSÅS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44998</v>
      </c>
      <c r="E283" s="1" t="n">
        <v>46292</v>
      </c>
      <c r="F283" t="inlineStr">
        <is>
          <t>KALMAR LÄN</t>
        </is>
      </c>
      <c r="G283" t="inlineStr">
        <is>
          <t>TORSÅS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46292</v>
      </c>
      <c r="F284" t="inlineStr">
        <is>
          <t>KALMAR LÄN</t>
        </is>
      </c>
      <c r="G284" t="inlineStr">
        <is>
          <t>TORSÅS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45050</v>
      </c>
      <c r="E285" s="1" t="n">
        <v>46292</v>
      </c>
      <c r="F285" t="inlineStr">
        <is>
          <t>KALMAR LÄN</t>
        </is>
      </c>
      <c r="G285" t="inlineStr">
        <is>
          <t>TORSÅS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46292</v>
      </c>
      <c r="F286" t="inlineStr">
        <is>
          <t>KALMAR LÄN</t>
        </is>
      </c>
      <c r="G286" t="inlineStr">
        <is>
          <t>TORSÅS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46292</v>
      </c>
      <c r="F287" t="inlineStr">
        <is>
          <t>KALMAR LÄN</t>
        </is>
      </c>
      <c r="G287" t="inlineStr">
        <is>
          <t>TORSÅS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46292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46292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46292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46292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46292</v>
      </c>
      <c r="F292" t="inlineStr">
        <is>
          <t>KALMAR LÄN</t>
        </is>
      </c>
      <c r="G292" t="inlineStr">
        <is>
          <t>TORSÅS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46255</v>
      </c>
      <c r="E293" s="1" t="n">
        <v>46292</v>
      </c>
      <c r="F293" t="inlineStr">
        <is>
          <t>KALMAR LÄN</t>
        </is>
      </c>
      <c r="G293" t="inlineStr">
        <is>
          <t>TORSÅS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46292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45195</v>
      </c>
      <c r="E295" s="1" t="n">
        <v>46292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46292</v>
      </c>
      <c r="F296" t="inlineStr">
        <is>
          <t>KALMAR LÄN</t>
        </is>
      </c>
      <c r="G296" t="inlineStr">
        <is>
          <t>TORSÅS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46292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46292</v>
      </c>
      <c r="F298" t="inlineStr">
        <is>
          <t>KALMAR LÄN</t>
        </is>
      </c>
      <c r="G298" t="inlineStr">
        <is>
          <t>TORSÅS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46292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46292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46218</v>
      </c>
      <c r="E301" s="1" t="n">
        <v>46292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46218</v>
      </c>
      <c r="E302" s="1" t="n">
        <v>46292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46292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46292</v>
      </c>
      <c r="F304" t="inlineStr">
        <is>
          <t>KALMAR LÄN</t>
        </is>
      </c>
      <c r="G304" t="inlineStr">
        <is>
          <t>TORSÅS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46292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46292</v>
      </c>
      <c r="F306" t="inlineStr">
        <is>
          <t>KALMAR LÄN</t>
        </is>
      </c>
      <c r="G306" t="inlineStr">
        <is>
          <t>TORSÅS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46292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46292</v>
      </c>
      <c r="F308" t="inlineStr">
        <is>
          <t>KALMAR LÄN</t>
        </is>
      </c>
      <c r="G308" t="inlineStr">
        <is>
          <t>TORSÅS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46292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46292</v>
      </c>
      <c r="F310" t="inlineStr">
        <is>
          <t>KALMAR LÄN</t>
        </is>
      </c>
      <c r="G310" t="inlineStr">
        <is>
          <t>TORSÅS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46292</v>
      </c>
      <c r="F311" t="inlineStr">
        <is>
          <t>KALMAR LÄN</t>
        </is>
      </c>
      <c r="G311" t="inlineStr">
        <is>
          <t>TORSÅS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46265</v>
      </c>
      <c r="E312" s="1" t="n">
        <v>46292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46292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46292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46292</v>
      </c>
      <c r="F315" t="inlineStr">
        <is>
          <t>KALMAR LÄN</t>
        </is>
      </c>
      <c r="G315" t="inlineStr">
        <is>
          <t>TORSÅS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46292</v>
      </c>
      <c r="F316" t="inlineStr">
        <is>
          <t>KALMAR LÄN</t>
        </is>
      </c>
      <c r="G316" t="inlineStr">
        <is>
          <t>TORSÅS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44741</v>
      </c>
      <c r="E317" s="1" t="n">
        <v>46292</v>
      </c>
      <c r="F317" t="inlineStr">
        <is>
          <t>KALMAR LÄN</t>
        </is>
      </c>
      <c r="G317" t="inlineStr">
        <is>
          <t>TORSÅS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46292</v>
      </c>
      <c r="F318" t="inlineStr">
        <is>
          <t>KALMAR LÄN</t>
        </is>
      </c>
      <c r="G318" t="inlineStr">
        <is>
          <t>TORSÅS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46292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46292</v>
      </c>
      <c r="F320" t="inlineStr">
        <is>
          <t>KALMAR LÄN</t>
        </is>
      </c>
      <c r="G320" t="inlineStr">
        <is>
          <t>TORSÅS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45977</v>
      </c>
      <c r="E321" s="1" t="n">
        <v>46292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46292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46292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46292</v>
      </c>
      <c r="F324" t="inlineStr">
        <is>
          <t>KALMAR LÄN</t>
        </is>
      </c>
      <c r="G324" t="inlineStr">
        <is>
          <t>TORSÅS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21577-2022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44706</v>
      </c>
      <c r="E325" s="1" t="n">
        <v>46292</v>
      </c>
      <c r="F325" t="inlineStr">
        <is>
          <t>KALMAR LÄN</t>
        </is>
      </c>
      <c r="G325" t="inlineStr">
        <is>
          <t>TORSÅS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55675-2021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44476</v>
      </c>
      <c r="E326" s="1" t="n">
        <v>46292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46272</v>
      </c>
      <c r="E327" s="1" t="n">
        <v>46292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45330</v>
      </c>
      <c r="E328" s="1" t="n">
        <v>46292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39728-2024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45552</v>
      </c>
      <c r="E329" s="1" t="n">
        <v>46292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46292</v>
      </c>
      <c r="F330" t="inlineStr">
        <is>
          <t>KALMAR LÄN</t>
        </is>
      </c>
      <c r="G330" t="inlineStr">
        <is>
          <t>TORSÅS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46292</v>
      </c>
      <c r="F331" t="inlineStr">
        <is>
          <t>KALMAR LÄN</t>
        </is>
      </c>
      <c r="G331" t="inlineStr">
        <is>
          <t>TORSÅS</t>
        </is>
      </c>
      <c r="I331" t="n">
        <v>19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46278</v>
      </c>
      <c r="E332" s="1" t="n">
        <v>46292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46280</v>
      </c>
      <c r="E333" s="1" t="n">
        <v>46292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46292</v>
      </c>
      <c r="F334" t="inlineStr">
        <is>
          <t>KALMAR LÄN</t>
        </is>
      </c>
      <c r="G334" t="inlineStr">
        <is>
          <t>TORSÅS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46292</v>
      </c>
      <c r="F335" t="inlineStr">
        <is>
          <t>KALMAR LÄN</t>
        </is>
      </c>
      <c r="G335" t="inlineStr">
        <is>
          <t>TORSÅS</t>
        </is>
      </c>
      <c r="H335" t="inlineStr">
        <is>
          <t>Övriga Aktiebolag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46292</v>
      </c>
      <c r="F336" t="inlineStr">
        <is>
          <t>KALMAR LÄN</t>
        </is>
      </c>
      <c r="G336" t="inlineStr">
        <is>
          <t>TORSÅS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46292</v>
      </c>
      <c r="F337" t="inlineStr">
        <is>
          <t>KALMAR LÄN</t>
        </is>
      </c>
      <c r="G337" t="inlineStr">
        <is>
          <t>TORSÅS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46292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46292</v>
      </c>
      <c r="F339" t="inlineStr">
        <is>
          <t>KALMAR LÄN</t>
        </is>
      </c>
      <c r="G339" t="inlineStr">
        <is>
          <t>TORSÅS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45132</v>
      </c>
      <c r="E340" s="1" t="n">
        <v>46292</v>
      </c>
      <c r="F340" t="inlineStr">
        <is>
          <t>KALMAR LÄN</t>
        </is>
      </c>
      <c r="G340" t="inlineStr">
        <is>
          <t>TORSÅS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46292</v>
      </c>
      <c r="F341" t="inlineStr">
        <is>
          <t>KALMAR LÄN</t>
        </is>
      </c>
      <c r="G341" t="inlineStr">
        <is>
          <t>TORSÅS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46292</v>
      </c>
      <c r="F342" t="inlineStr">
        <is>
          <t>KALMAR LÄN</t>
        </is>
      </c>
      <c r="G342" t="inlineStr">
        <is>
          <t>TORSÅS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46292</v>
      </c>
      <c r="F343" t="inlineStr">
        <is>
          <t>KALMAR LÄN</t>
        </is>
      </c>
      <c r="G343" t="inlineStr">
        <is>
          <t>TORSÅS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46292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46292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44600</v>
      </c>
      <c r="E346" s="1" t="n">
        <v>46292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46292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46292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46292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46292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44637</v>
      </c>
      <c r="E351" s="1" t="n">
        <v>46292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45196</v>
      </c>
      <c r="E352" s="1" t="n">
        <v>46292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46292</v>
      </c>
      <c r="F353" t="inlineStr">
        <is>
          <t>KALMAR LÄN</t>
        </is>
      </c>
      <c r="G353" t="inlineStr">
        <is>
          <t>TORSÅS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46292</v>
      </c>
      <c r="F354" t="inlineStr">
        <is>
          <t>KALMAR LÄN</t>
        </is>
      </c>
      <c r="G354" t="inlineStr">
        <is>
          <t>TORSÅS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45251</v>
      </c>
      <c r="E355" s="1" t="n">
        <v>46292</v>
      </c>
      <c r="F355" t="inlineStr">
        <is>
          <t>KALMAR LÄN</t>
        </is>
      </c>
      <c r="G355" t="inlineStr">
        <is>
          <t>TORSÅS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46292</v>
      </c>
      <c r="F356" t="inlineStr">
        <is>
          <t>KALMAR LÄN</t>
        </is>
      </c>
      <c r="G356" t="inlineStr">
        <is>
          <t>TORSÅS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46292</v>
      </c>
      <c r="F357" t="inlineStr">
        <is>
          <t>KALMAR LÄN</t>
        </is>
      </c>
      <c r="G357" t="inlineStr">
        <is>
          <t>TORSÅS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46292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46292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46292</v>
      </c>
      <c r="F360" t="inlineStr">
        <is>
          <t>KALMAR LÄN</t>
        </is>
      </c>
      <c r="G360" t="inlineStr">
        <is>
          <t>TORSÅS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46292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45040</v>
      </c>
      <c r="E362" s="1" t="n">
        <v>46292</v>
      </c>
      <c r="F362" t="inlineStr">
        <is>
          <t>KALMAR LÄN</t>
        </is>
      </c>
      <c r="G362" t="inlineStr">
        <is>
          <t>TORSÅS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46292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46292</v>
      </c>
      <c r="F364" t="inlineStr">
        <is>
          <t>KALMAR LÄN</t>
        </is>
      </c>
      <c r="G364" t="inlineStr">
        <is>
          <t>TORSÅS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46292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46292</v>
      </c>
      <c r="F366" t="inlineStr">
        <is>
          <t>KALMAR LÄN</t>
        </is>
      </c>
      <c r="G366" t="inlineStr">
        <is>
          <t>TORSÅS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46292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46292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46292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46292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46292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46292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46292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46292</v>
      </c>
      <c r="F374" t="inlineStr">
        <is>
          <t>KALMAR LÄN</t>
        </is>
      </c>
      <c r="G374" t="inlineStr">
        <is>
          <t>TORSÅS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44949</v>
      </c>
      <c r="E375" s="1" t="n">
        <v>46292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46292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46292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46292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45309</v>
      </c>
      <c r="E379" s="1" t="n">
        <v>46292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46292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46292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46292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46292</v>
      </c>
      <c r="F383" t="inlineStr">
        <is>
          <t>KALMAR LÄN</t>
        </is>
      </c>
      <c r="G383" t="inlineStr">
        <is>
          <t>TORSÅS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52072-2023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45223</v>
      </c>
      <c r="E384" s="1" t="n">
        <v>46292</v>
      </c>
      <c r="F384" t="inlineStr">
        <is>
          <t>KALMAR LÄN</t>
        </is>
      </c>
      <c r="G384" t="inlineStr">
        <is>
          <t>TORSÅS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46292</v>
      </c>
      <c r="F385" t="inlineStr">
        <is>
          <t>KALMAR LÄN</t>
        </is>
      </c>
      <c r="G385" t="inlineStr">
        <is>
          <t>TORSÅS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46292</v>
      </c>
      <c r="F386" t="inlineStr">
        <is>
          <t>KALMAR LÄN</t>
        </is>
      </c>
      <c r="G386" t="inlineStr">
        <is>
          <t>TORSÅS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46292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45036</v>
      </c>
      <c r="E388" s="1" t="n">
        <v>46292</v>
      </c>
      <c r="F388" t="inlineStr">
        <is>
          <t>KALMAR LÄN</t>
        </is>
      </c>
      <c r="G388" t="inlineStr">
        <is>
          <t>TORSÅS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46292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46292</v>
      </c>
      <c r="F390" t="inlineStr">
        <is>
          <t>KALMAR LÄN</t>
        </is>
      </c>
      <c r="G390" t="inlineStr">
        <is>
          <t>TORSÅS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46292</v>
      </c>
      <c r="F391" t="inlineStr">
        <is>
          <t>KALMAR LÄN</t>
        </is>
      </c>
      <c r="G391" t="inlineStr">
        <is>
          <t>TORSÅS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45518</v>
      </c>
      <c r="E392" s="1" t="n">
        <v>46292</v>
      </c>
      <c r="F392" t="inlineStr">
        <is>
          <t>KALMAR LÄN</t>
        </is>
      </c>
      <c r="G392" t="inlineStr">
        <is>
          <t>TORSÅS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45736</v>
      </c>
      <c r="E393" s="1" t="n">
        <v>46292</v>
      </c>
      <c r="F393" t="inlineStr">
        <is>
          <t>KALMAR LÄN</t>
        </is>
      </c>
      <c r="G393" t="inlineStr">
        <is>
          <t>TORSÅS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46292</v>
      </c>
      <c r="F394" t="inlineStr">
        <is>
          <t>KALMAR LÄN</t>
        </is>
      </c>
      <c r="G394" t="inlineStr">
        <is>
          <t>TORSÅS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46292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46292</v>
      </c>
      <c r="F396" t="inlineStr">
        <is>
          <t>KALMAR LÄN</t>
        </is>
      </c>
      <c r="G396" t="inlineStr">
        <is>
          <t>TORSÅS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46292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46292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45001</v>
      </c>
      <c r="E399" s="1" t="n">
        <v>46292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46292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46292</v>
      </c>
      <c r="F401" t="inlineStr">
        <is>
          <t>KALMAR LÄN</t>
        </is>
      </c>
      <c r="G401" t="inlineStr">
        <is>
          <t>TORSÅS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46292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46292</v>
      </c>
      <c r="F403" t="inlineStr">
        <is>
          <t>KALMAR LÄN</t>
        </is>
      </c>
      <c r="G403" t="inlineStr">
        <is>
          <t>TORSÅS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46292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45404</v>
      </c>
      <c r="E405" s="1" t="n">
        <v>46292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46292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46292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46292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46292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46292</v>
      </c>
      <c r="F410" t="inlineStr">
        <is>
          <t>KALMAR LÄN</t>
        </is>
      </c>
      <c r="G410" t="inlineStr">
        <is>
          <t>TORSÅS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46292</v>
      </c>
      <c r="F411" t="inlineStr">
        <is>
          <t>KALMAR LÄN</t>
        </is>
      </c>
      <c r="G411" t="inlineStr">
        <is>
          <t>TORSÅS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46292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46292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46292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46292</v>
      </c>
      <c r="F415" t="inlineStr">
        <is>
          <t>KALMAR LÄN</t>
        </is>
      </c>
      <c r="G415" t="inlineStr">
        <is>
          <t>TORSÅS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46292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46292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44679</v>
      </c>
      <c r="E418" s="1" t="n">
        <v>46292</v>
      </c>
      <c r="F418" t="inlineStr">
        <is>
          <t>KALMAR LÄN</t>
        </is>
      </c>
      <c r="G418" t="inlineStr">
        <is>
          <t>TORSÅS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46292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46292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46292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1824-2022</t>
        </is>
      </c>
      <c r="B422" t="inlineStr">
        <is>
          <t>samrådsanmälan</t>
        </is>
      </c>
      <c r="C422" t="inlineStr">
        <is>
          <t>Skogsbilväg</t>
        </is>
      </c>
      <c r="D422" s="1" t="n">
        <v>44658</v>
      </c>
      <c r="E422" s="1" t="n">
        <v>46292</v>
      </c>
      <c r="F422" t="inlineStr">
        <is>
          <t>KALMAR LÄN</t>
        </is>
      </c>
      <c r="G422" t="inlineStr">
        <is>
          <t>TORSÅS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3937-2023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45235</v>
      </c>
      <c r="E423" s="1" t="n">
        <v>46292</v>
      </c>
      <c r="F423" t="inlineStr">
        <is>
          <t>KALMAR LÄN</t>
        </is>
      </c>
      <c r="G423" t="inlineStr">
        <is>
          <t>TORSÅS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221-2024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45316</v>
      </c>
      <c r="E424" s="1" t="n">
        <v>46292</v>
      </c>
      <c r="F424" t="inlineStr">
        <is>
          <t>KALMAR LÄN</t>
        </is>
      </c>
      <c r="G424" t="inlineStr">
        <is>
          <t>TORSÅS</t>
        </is>
      </c>
      <c r="I424" t="n">
        <v>17.6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3287-2024</t>
        </is>
      </c>
      <c r="B425" t="inlineStr">
        <is>
          <t>samrådsanmälan</t>
        </is>
      </c>
      <c r="C425" t="inlineStr">
        <is>
          <t>Annan skogsbruksåtgärd</t>
        </is>
      </c>
      <c r="D425" s="1" t="n">
        <v>45527</v>
      </c>
      <c r="E425" s="1" t="n">
        <v>46292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1844-2024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46292</v>
      </c>
      <c r="F426" t="inlineStr">
        <is>
          <t>KALMAR LÄN</t>
        </is>
      </c>
      <c r="G426" t="inlineStr">
        <is>
          <t>TORSÅS</t>
        </is>
      </c>
      <c r="I426" t="n">
        <v>15.7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2489-2024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45471</v>
      </c>
      <c r="E427" s="1" t="n">
        <v>46292</v>
      </c>
      <c r="F427" t="inlineStr">
        <is>
          <t>KALMAR LÄN</t>
        </is>
      </c>
      <c r="G427" t="inlineStr">
        <is>
          <t>TORSÅS</t>
        </is>
      </c>
      <c r="I427" t="n">
        <v>18.2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1842-2024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46292</v>
      </c>
      <c r="F428" t="inlineStr">
        <is>
          <t>KALMAR LÄN</t>
        </is>
      </c>
      <c r="G428" t="inlineStr">
        <is>
          <t>TORSÅS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1843-2024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45440</v>
      </c>
      <c r="E429" s="1" t="n">
        <v>46292</v>
      </c>
      <c r="F429" t="inlineStr">
        <is>
          <t>KALMAR LÄN</t>
        </is>
      </c>
      <c r="G429" t="inlineStr">
        <is>
          <t>TORSÅS</t>
        </is>
      </c>
      <c r="I429" t="n">
        <v>11.6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3767-2024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45558</v>
      </c>
      <c r="E430" s="1" t="n">
        <v>46292</v>
      </c>
      <c r="F430" t="inlineStr">
        <is>
          <t>KALMAR LÄN</t>
        </is>
      </c>
      <c r="G430" t="inlineStr">
        <is>
          <t>TORSÅS</t>
        </is>
      </c>
      <c r="I430" t="n">
        <v>19.8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866-2024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46292</v>
      </c>
      <c r="F431" t="inlineStr">
        <is>
          <t>KALMAR LÄN</t>
        </is>
      </c>
      <c r="G431" t="inlineStr">
        <is>
          <t>TORSÅS</t>
        </is>
      </c>
      <c r="I431" t="n">
        <v>16.6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367-2024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45330</v>
      </c>
      <c r="E432" s="1" t="n">
        <v>46292</v>
      </c>
      <c r="F432" t="inlineStr">
        <is>
          <t>KALMAR LÄN</t>
        </is>
      </c>
      <c r="G432" t="inlineStr">
        <is>
          <t>TORSÅS</t>
        </is>
      </c>
      <c r="I432" t="n">
        <v>33.3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871-2024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46292</v>
      </c>
      <c r="F433" t="inlineStr">
        <is>
          <t>KALMAR LÄN</t>
        </is>
      </c>
      <c r="G433" t="inlineStr">
        <is>
          <t>TORSÅS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1059-2024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45387</v>
      </c>
      <c r="E434" s="1" t="n">
        <v>46292</v>
      </c>
      <c r="F434" t="inlineStr">
        <is>
          <t>KALMAR LÄN</t>
        </is>
      </c>
      <c r="G434" t="inlineStr">
        <is>
          <t>TORSÅS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46292</v>
      </c>
      <c r="F435" t="inlineStr">
        <is>
          <t>KALMAR LÄN</t>
        </is>
      </c>
      <c r="G435" t="inlineStr">
        <is>
          <t>TORSÅS</t>
        </is>
      </c>
      <c r="I435" t="n">
        <v>19.2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46292</v>
      </c>
      <c r="F436" t="inlineStr">
        <is>
          <t>KALMAR LÄN</t>
        </is>
      </c>
      <c r="G436" t="inlineStr">
        <is>
          <t>TORSÅS</t>
        </is>
      </c>
      <c r="I436" t="n">
        <v>35.5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297-2025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45687</v>
      </c>
      <c r="E437" s="1" t="n">
        <v>46292</v>
      </c>
      <c r="F437" t="inlineStr">
        <is>
          <t>KALMAR LÄN</t>
        </is>
      </c>
      <c r="G437" t="inlineStr">
        <is>
          <t>TORSÅS</t>
        </is>
      </c>
      <c r="I437" t="n">
        <v>31.5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46292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56-2023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44928</v>
      </c>
      <c r="E439" s="1" t="n">
        <v>46292</v>
      </c>
      <c r="F439" t="inlineStr">
        <is>
          <t>KALMAR LÄN</t>
        </is>
      </c>
      <c r="G439" t="inlineStr">
        <is>
          <t>TORSÅS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598-2023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44971</v>
      </c>
      <c r="E440" s="1" t="n">
        <v>46292</v>
      </c>
      <c r="F440" t="inlineStr">
        <is>
          <t>KALMAR LÄN</t>
        </is>
      </c>
      <c r="G440" t="inlineStr">
        <is>
          <t>TORSÅS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46292</v>
      </c>
      <c r="F441" t="inlineStr">
        <is>
          <t>KALMAR LÄN</t>
        </is>
      </c>
      <c r="G441" t="inlineStr">
        <is>
          <t>TORSÅS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1526-2025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46292</v>
      </c>
      <c r="F442" t="inlineStr">
        <is>
          <t>KALMAR LÄN</t>
        </is>
      </c>
      <c r="G442" t="inlineStr">
        <is>
          <t>TORSÅS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1524-2025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45791</v>
      </c>
      <c r="E443" s="1" t="n">
        <v>46292</v>
      </c>
      <c r="F443" t="inlineStr">
        <is>
          <t>KALMAR LÄN</t>
        </is>
      </c>
      <c r="G443" t="inlineStr">
        <is>
          <t>TORSÅS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>
      <c r="A444" t="inlineStr">
        <is>
          <t>S 1525-2025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45791</v>
      </c>
      <c r="E444" s="1" t="n">
        <v>46292</v>
      </c>
      <c r="F444" t="inlineStr">
        <is>
          <t>KALMAR LÄN</t>
        </is>
      </c>
      <c r="G444" t="inlineStr">
        <is>
          <t>TORSÅS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2026-09-27T01:59:11Z</dcterms:created>
  <dcterms:modified xmlns:dcterms="http://purl.org/dc/terms/" xmlns:xsi="http://www.w3.org/2001/XMLSchema-instance" xsi:type="dcterms:W3CDTF">2026-09-27T01:59:11Z</dcterms:modified>
</cp:coreProperties>
</file>