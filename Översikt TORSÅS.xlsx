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46216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46216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46216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46216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Y5">
        <f>HYPERLINK("https://klasma.github.io/Logging_0834/klagomål/A 28946-2025 FSC-klagomål.docx", "A 28946-2025")</f>
        <v/>
      </c>
      <c r="Z5">
        <f>HYPERLINK("https://klasma.github.io/Logging_0834/klagomålsmail/A 28946-2025 FSC-klagomål mail.docx", "A 28946-2025")</f>
        <v/>
      </c>
      <c r="AA5">
        <f>HYPERLINK("https://klasma.github.io/Logging_0834/tillsyn/A 28946-2025 tillsynsbegäran.docx", "A 28946-2025")</f>
        <v/>
      </c>
      <c r="AB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46216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Y6">
        <f>HYPERLINK("https://klasma.github.io/Logging_0834/klagomål/A 24660-2025 FSC-klagomål.docx", "A 24660-2025")</f>
        <v/>
      </c>
      <c r="Z6">
        <f>HYPERLINK("https://klasma.github.io/Logging_0834/klagomålsmail/A 24660-2025 FSC-klagomål mail.docx", "A 24660-2025")</f>
        <v/>
      </c>
      <c r="AA6">
        <f>HYPERLINK("https://klasma.github.io/Logging_0834/tillsyn/A 24660-2025 tillsynsbegäran.docx", "A 24660-2025")</f>
        <v/>
      </c>
      <c r="AB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46216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46216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46216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Y9">
        <f>HYPERLINK("https://klasma.github.io/Logging_0834/klagomål/A 8304-2024 FSC-klagomål.docx", "A 8304-2024")</f>
        <v/>
      </c>
      <c r="Z9">
        <f>HYPERLINK("https://klasma.github.io/Logging_0834/klagomålsmail/A 8304-2024 FSC-klagomål mail.docx", "A 8304-2024")</f>
        <v/>
      </c>
      <c r="AA9">
        <f>HYPERLINK("https://klasma.github.io/Logging_0834/tillsyn/A 8304-2024 tillsynsbegäran.docx", "A 8304-2024")</f>
        <v/>
      </c>
      <c r="AB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46216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Nordfladdermus
Större brunfladdermus
Trollpipistrell</t>
        </is>
      </c>
      <c r="V10">
        <f>HYPERLINK("https://klasma.github.io/Logging_0834/artfynd/A 47385-2023 artfynd.xlsx", "A 47385-2023")</f>
        <v/>
      </c>
      <c r="W10">
        <f>HYPERLINK("https://klasma.github.io/Logging_0834/kartor/A 47385-2023 karta.png", "A 47385-2023")</f>
        <v/>
      </c>
      <c r="Y10">
        <f>HYPERLINK("https://klasma.github.io/Logging_0834/klagomål/A 47385-2023 FSC-klagomål.docx", "A 47385-2023")</f>
        <v/>
      </c>
      <c r="Z10">
        <f>HYPERLINK("https://klasma.github.io/Logging_0834/klagomålsmail/A 47385-2023 FSC-klagomål mail.docx", "A 47385-2023")</f>
        <v/>
      </c>
      <c r="AA10">
        <f>HYPERLINK("https://klasma.github.io/Logging_0834/tillsyn/A 47385-2023 tillsynsbegäran.docx", "A 47385-2023")</f>
        <v/>
      </c>
      <c r="AB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46216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Bokvårtlav
Blomkålssvamp
Stubbspretmossa</t>
        </is>
      </c>
      <c r="V11">
        <f>HYPERLINK("https://klasma.github.io/Logging_0834/artfynd/A 8427-2023 artfynd.xlsx", "A 8427-2023")</f>
        <v/>
      </c>
      <c r="W11">
        <f>HYPERLINK("https://klasma.github.io/Logging_0834/kartor/A 8427-2023 karta.png", "A 8427-2023")</f>
        <v/>
      </c>
      <c r="Y11">
        <f>HYPERLINK("https://klasma.github.io/Logging_0834/klagomål/A 8427-2023 FSC-klagomål.docx", "A 8427-2023")</f>
        <v/>
      </c>
      <c r="Z11">
        <f>HYPERLINK("https://klasma.github.io/Logging_0834/klagomålsmail/A 8427-2023 FSC-klagomål mail.docx", "A 8427-2023")</f>
        <v/>
      </c>
      <c r="AA11">
        <f>HYPERLINK("https://klasma.github.io/Logging_0834/tillsyn/A 8427-2023 tillsynsbegäran.docx", "A 8427-2023")</f>
        <v/>
      </c>
      <c r="AB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46216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Dvärgpipistrell
Större brunfladdermus</t>
        </is>
      </c>
      <c r="V12">
        <f>HYPERLINK("https://klasma.github.io/Logging_0834/artfynd/A 24159-2022 artfynd.xlsx", "A 24159-2022")</f>
        <v/>
      </c>
      <c r="W12">
        <f>HYPERLINK("https://klasma.github.io/Logging_0834/kartor/A 24159-2022 karta.png", "A 24159-2022")</f>
        <v/>
      </c>
      <c r="Y12">
        <f>HYPERLINK("https://klasma.github.io/Logging_0834/klagomål/A 24159-2022 FSC-klagomål.docx", "A 24159-2022")</f>
        <v/>
      </c>
      <c r="Z12">
        <f>HYPERLINK("https://klasma.github.io/Logging_0834/klagomålsmail/A 24159-2022 FSC-klagomål mail.docx", "A 24159-2022")</f>
        <v/>
      </c>
      <c r="AA12">
        <f>HYPERLINK("https://klasma.github.io/Logging_0834/tillsyn/A 24159-2022 tillsynsbegäran.docx", "A 24159-2022")</f>
        <v/>
      </c>
      <c r="AB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46216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46216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46216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46216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46216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46216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Stare
Skogsödla</t>
        </is>
      </c>
      <c r="V18">
        <f>HYPERLINK("https://klasma.github.io/Logging_0834/artfynd/A 10603-2023 artfynd.xlsx", "A 10603-2023")</f>
        <v/>
      </c>
      <c r="W18">
        <f>HYPERLINK("https://klasma.github.io/Logging_0834/kartor/A 10603-2023 karta.png", "A 10603-2023")</f>
        <v/>
      </c>
      <c r="Y18">
        <f>HYPERLINK("https://klasma.github.io/Logging_0834/klagomål/A 10603-2023 FSC-klagomål.docx", "A 10603-2023")</f>
        <v/>
      </c>
      <c r="Z18">
        <f>HYPERLINK("https://klasma.github.io/Logging_0834/klagomålsmail/A 10603-2023 FSC-klagomål mail.docx", "A 10603-2023")</f>
        <v/>
      </c>
      <c r="AA18">
        <f>HYPERLINK("https://klasma.github.io/Logging_0834/tillsyn/A 10603-2023 tillsynsbegäran.docx", "A 10603-2023")</f>
        <v/>
      </c>
      <c r="AB18">
        <f>HYPERLINK("https://klasma.github.io/Logging_0834/tillsynsmail/A 10603-2023 tillsynsbegäran mail.docx", "A 10603-2023")</f>
        <v/>
      </c>
      <c r="AC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46216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Nordfladdermus
Underviol</t>
        </is>
      </c>
      <c r="V19">
        <f>HYPERLINK("https://klasma.github.io/Logging_0834/artfynd/A 8311-2024 artfynd.xlsx", "A 8311-2024")</f>
        <v/>
      </c>
      <c r="W19">
        <f>HYPERLINK("https://klasma.github.io/Logging_0834/kartor/A 8311-2024 karta.png", "A 8311-2024")</f>
        <v/>
      </c>
      <c r="Y19">
        <f>HYPERLINK("https://klasma.github.io/Logging_0834/klagomål/A 8311-2024 FSC-klagomål.docx", "A 8311-2024")</f>
        <v/>
      </c>
      <c r="Z19">
        <f>HYPERLINK("https://klasma.github.io/Logging_0834/klagomålsmail/A 8311-2024 FSC-klagomål mail.docx", "A 8311-2024")</f>
        <v/>
      </c>
      <c r="AA19">
        <f>HYPERLINK("https://klasma.github.io/Logging_0834/tillsyn/A 8311-2024 tillsynsbegäran.docx", "A 8311-2024")</f>
        <v/>
      </c>
      <c r="AB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46216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46216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46216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46216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46216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46216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46216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46216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46216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Långbensgroda</t>
        </is>
      </c>
      <c r="V28">
        <f>HYPERLINK("https://klasma.github.io/Logging_0834/artfynd/A 2667-2022 artfynd.xlsx", "A 2667-2022")</f>
        <v/>
      </c>
      <c r="W28">
        <f>HYPERLINK("https://klasma.github.io/Logging_0834/kartor/A 2667-2022 karta.png", "A 2667-2022")</f>
        <v/>
      </c>
      <c r="Y28">
        <f>HYPERLINK("https://klasma.github.io/Logging_0834/klagomål/A 2667-2022 FSC-klagomål.docx", "A 2667-2022")</f>
        <v/>
      </c>
      <c r="Z28">
        <f>HYPERLINK("https://klasma.github.io/Logging_0834/klagomålsmail/A 2667-2022 FSC-klagomål mail.docx", "A 2667-2022")</f>
        <v/>
      </c>
      <c r="AA28">
        <f>HYPERLINK("https://klasma.github.io/Logging_0834/tillsyn/A 2667-2022 tillsynsbegäran.docx", "A 2667-2022")</f>
        <v/>
      </c>
      <c r="AB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46216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Långbensgroda</t>
        </is>
      </c>
      <c r="V29">
        <f>HYPERLINK("https://klasma.github.io/Logging_0834/artfynd/A 15376-2023 artfynd.xlsx", "A 15376-2023")</f>
        <v/>
      </c>
      <c r="W29">
        <f>HYPERLINK("https://klasma.github.io/Logging_0834/kartor/A 15376-2023 karta.png", "A 15376-2023")</f>
        <v/>
      </c>
      <c r="Y29">
        <f>HYPERLINK("https://klasma.github.io/Logging_0834/klagomål/A 15376-2023 FSC-klagomål.docx", "A 15376-2023")</f>
        <v/>
      </c>
      <c r="Z29">
        <f>HYPERLINK("https://klasma.github.io/Logging_0834/klagomålsmail/A 15376-2023 FSC-klagomål mail.docx", "A 15376-2023")</f>
        <v/>
      </c>
      <c r="AA29">
        <f>HYPERLINK("https://klasma.github.io/Logging_0834/tillsyn/A 15376-2023 tillsynsbegäran.docx", "A 15376-2023")</f>
        <v/>
      </c>
      <c r="AB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46216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Murgröna</t>
        </is>
      </c>
      <c r="V30">
        <f>HYPERLINK("https://klasma.github.io/Logging_0834/artfynd/A 59361-2023 artfynd.xlsx", "A 59361-2023")</f>
        <v/>
      </c>
      <c r="W30">
        <f>HYPERLINK("https://klasma.github.io/Logging_0834/kartor/A 59361-2023 karta.png", "A 59361-2023")</f>
        <v/>
      </c>
      <c r="Y30">
        <f>HYPERLINK("https://klasma.github.io/Logging_0834/klagomål/A 59361-2023 FSC-klagomål.docx", "A 59361-2023")</f>
        <v/>
      </c>
      <c r="Z30">
        <f>HYPERLINK("https://klasma.github.io/Logging_0834/klagomålsmail/A 59361-2023 FSC-klagomål mail.docx", "A 59361-2023")</f>
        <v/>
      </c>
      <c r="AA30">
        <f>HYPERLINK("https://klasma.github.io/Logging_0834/tillsyn/A 59361-2023 tillsynsbegäran.docx", "A 59361-2023")</f>
        <v/>
      </c>
      <c r="AB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46216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Stor revmossa</t>
        </is>
      </c>
      <c r="V31">
        <f>HYPERLINK("https://klasma.github.io/Logging_0834/artfynd/A 36625-2022 artfynd.xlsx", "A 36625-2022")</f>
        <v/>
      </c>
      <c r="W31">
        <f>HYPERLINK("https://klasma.github.io/Logging_0834/kartor/A 36625-2022 karta.png", "A 36625-2022")</f>
        <v/>
      </c>
      <c r="Y31">
        <f>HYPERLINK("https://klasma.github.io/Logging_0834/klagomål/A 36625-2022 FSC-klagomål.docx", "A 36625-2022")</f>
        <v/>
      </c>
      <c r="Z31">
        <f>HYPERLINK("https://klasma.github.io/Logging_0834/klagomålsmail/A 36625-2022 FSC-klagomål mail.docx", "A 36625-2022")</f>
        <v/>
      </c>
      <c r="AA31">
        <f>HYPERLINK("https://klasma.github.io/Logging_0834/tillsyn/A 36625-2022 tillsynsbegäran.docx", "A 36625-2022")</f>
        <v/>
      </c>
      <c r="AB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46216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Grovticka</t>
        </is>
      </c>
      <c r="V32">
        <f>HYPERLINK("https://klasma.github.io/Logging_0834/artfynd/A 24157-2023 artfynd.xlsx", "A 24157-2023")</f>
        <v/>
      </c>
      <c r="W32">
        <f>HYPERLINK("https://klasma.github.io/Logging_0834/kartor/A 24157-2023 karta.png", "A 24157-2023")</f>
        <v/>
      </c>
      <c r="Y32">
        <f>HYPERLINK("https://klasma.github.io/Logging_0834/klagomål/A 24157-2023 FSC-klagomål.docx", "A 24157-2023")</f>
        <v/>
      </c>
      <c r="Z32">
        <f>HYPERLINK("https://klasma.github.io/Logging_0834/klagomålsmail/A 24157-2023 FSC-klagomål mail.docx", "A 24157-2023")</f>
        <v/>
      </c>
      <c r="AA32">
        <f>HYPERLINK("https://klasma.github.io/Logging_0834/tillsyn/A 24157-2023 tillsynsbegäran.docx", "A 24157-2023")</f>
        <v/>
      </c>
      <c r="AB32">
        <f>HYPERLINK("https://klasma.github.io/Logging_0834/tillsynsmail/A 24157-2023 tillsynsbegäran mail.docx", "A 24157-2023")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46216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Huggorm</t>
        </is>
      </c>
      <c r="V33">
        <f>HYPERLINK("https://klasma.github.io/Logging_0834/artfynd/A 44569-2025 artfynd.xlsx", "A 44569-2025")</f>
        <v/>
      </c>
      <c r="W33">
        <f>HYPERLINK("https://klasma.github.io/Logging_0834/kartor/A 44569-2025 karta.png", "A 44569-2025")</f>
        <v/>
      </c>
      <c r="Y33">
        <f>HYPERLINK("https://klasma.github.io/Logging_0834/klagomål/A 44569-2025 FSC-klagomål.docx", "A 44569-2025")</f>
        <v/>
      </c>
      <c r="Z33">
        <f>HYPERLINK("https://klasma.github.io/Logging_0834/klagomålsmail/A 44569-2025 FSC-klagomål mail.docx", "A 44569-2025")</f>
        <v/>
      </c>
      <c r="AA33">
        <f>HYPERLINK("https://klasma.github.io/Logging_0834/tillsyn/A 44569-2025 tillsynsbegäran.docx", "A 44569-2025")</f>
        <v/>
      </c>
      <c r="AB33">
        <f>HYPERLINK("https://klasma.github.io/Logging_0834/tillsynsmail/A 44569-2025 tillsynsbegäran mail.docx", "A 44569-2025")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46216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Gullviva</t>
        </is>
      </c>
      <c r="V34">
        <f>HYPERLINK("https://klasma.github.io/Logging_0834/artfynd/A 9688-2023 artfynd.xlsx", "A 9688-2023")</f>
        <v/>
      </c>
      <c r="W34">
        <f>HYPERLINK("https://klasma.github.io/Logging_0834/kartor/A 9688-2023 karta.png", "A 9688-2023")</f>
        <v/>
      </c>
      <c r="Y34">
        <f>HYPERLINK("https://klasma.github.io/Logging_0834/klagomål/A 9688-2023 FSC-klagomål.docx", "A 9688-2023")</f>
        <v/>
      </c>
      <c r="Z34">
        <f>HYPERLINK("https://klasma.github.io/Logging_0834/klagomålsmail/A 9688-2023 FSC-klagomål mail.docx", "A 9688-2023")</f>
        <v/>
      </c>
      <c r="AA34">
        <f>HYPERLINK("https://klasma.github.io/Logging_0834/tillsyn/A 9688-2023 tillsynsbegäran.docx", "A 9688-2023")</f>
        <v/>
      </c>
      <c r="AB34">
        <f>HYPERLINK("https://klasma.github.io/Logging_0834/tillsynsmail/A 9688-2023 tillsynsbegäran mail.docx", "A 9688-2023")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46216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Större brunfladdermus</t>
        </is>
      </c>
      <c r="V35">
        <f>HYPERLINK("https://klasma.github.io/Logging_0834/artfynd/A 35769-2025 artfynd.xlsx", "A 35769-2025")</f>
        <v/>
      </c>
      <c r="W35">
        <f>HYPERLINK("https://klasma.github.io/Logging_0834/kartor/A 35769-2025 karta.png", "A 35769-2025")</f>
        <v/>
      </c>
      <c r="Y35">
        <f>HYPERLINK("https://klasma.github.io/Logging_0834/klagomål/A 35769-2025 FSC-klagomål.docx", "A 35769-2025")</f>
        <v/>
      </c>
      <c r="Z35">
        <f>HYPERLINK("https://klasma.github.io/Logging_0834/klagomålsmail/A 35769-2025 FSC-klagomål mail.docx", "A 35769-2025")</f>
        <v/>
      </c>
      <c r="AA35">
        <f>HYPERLINK("https://klasma.github.io/Logging_0834/tillsyn/A 35769-2025 tillsynsbegäran.docx", "A 35769-2025")</f>
        <v/>
      </c>
      <c r="AB35">
        <f>HYPERLINK("https://klasma.github.io/Logging_0834/tillsynsmail/A 35769-2025 tillsynsbegäran mail.docx", "A 35769-2025")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46216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Långbensgroda</t>
        </is>
      </c>
      <c r="V36">
        <f>HYPERLINK("https://klasma.github.io/Logging_0834/artfynd/A 6611-2026 artfynd.xlsx", "A 6611-2026")</f>
        <v/>
      </c>
      <c r="W36">
        <f>HYPERLINK("https://klasma.github.io/Logging_0834/kartor/A 6611-2026 karta.png", "A 6611-2026")</f>
        <v/>
      </c>
      <c r="Y36">
        <f>HYPERLINK("https://klasma.github.io/Logging_0834/klagomål/A 6611-2026 FSC-klagomål.docx", "A 6611-2026")</f>
        <v/>
      </c>
      <c r="Z36">
        <f>HYPERLINK("https://klasma.github.io/Logging_0834/klagomålsmail/A 6611-2026 FSC-klagomål mail.docx", "A 6611-2026")</f>
        <v/>
      </c>
      <c r="AA36">
        <f>HYPERLINK("https://klasma.github.io/Logging_0834/tillsyn/A 6611-2026 tillsynsbegäran.docx", "A 6611-2026")</f>
        <v/>
      </c>
      <c r="AB36">
        <f>HYPERLINK("https://klasma.github.io/Logging_0834/tillsynsmail/A 6611-2026 tillsynsbegäran mail.docx", "A 6611-2026")</f>
        <v/>
      </c>
    </row>
    <row r="37" ht="15" customHeight="1">
      <c r="A37" t="inlineStr">
        <is>
          <t>A 59123-2025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46216</v>
      </c>
      <c r="F37" t="inlineStr">
        <is>
          <t>KALMAR LÄN</t>
        </is>
      </c>
      <c r="G37" t="inlineStr">
        <is>
          <t>TORSÅS</t>
        </is>
      </c>
      <c r="I37" t="n">
        <v>13.2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Blåmossa</t>
        </is>
      </c>
      <c r="V37">
        <f>HYPERLINK("https://klasma.github.io/Logging_0834/artfynd/A 59123-2025 artfynd.xlsx", "A 59123-2025")</f>
        <v/>
      </c>
      <c r="W37">
        <f>HYPERLINK("https://klasma.github.io/Logging_0834/kartor/A 59123-2025 karta.png", "A 59123-2025")</f>
        <v/>
      </c>
      <c r="Y37">
        <f>HYPERLINK("https://klasma.github.io/Logging_0834/klagomål/A 59123-2025 FSC-klagomål.docx", "A 59123-2025")</f>
        <v/>
      </c>
      <c r="Z37">
        <f>HYPERLINK("https://klasma.github.io/Logging_0834/klagomålsmail/A 59123-2025 FSC-klagomål mail.docx", "A 59123-2025")</f>
        <v/>
      </c>
      <c r="AA37">
        <f>HYPERLINK("https://klasma.github.io/Logging_0834/tillsyn/A 59123-2025 tillsynsbegäran.docx", "A 59123-2025")</f>
        <v/>
      </c>
      <c r="AB37">
        <f>HYPERLINK("https://klasma.github.io/Logging_0834/tillsynsmail/A 59123-2025 tillsynsbegäran mail.docx", "A 59123-2025")</f>
        <v/>
      </c>
    </row>
    <row r="38" ht="15" customHeight="1">
      <c r="A38" t="inlineStr">
        <is>
          <t>A 59126-2025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46216</v>
      </c>
      <c r="F38" t="inlineStr">
        <is>
          <t>KALMAR LÄN</t>
        </is>
      </c>
      <c r="G38" t="inlineStr">
        <is>
          <t>TORSÅS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Långbensgroda</t>
        </is>
      </c>
      <c r="V38">
        <f>HYPERLINK("https://klasma.github.io/Logging_0834/artfynd/A 59126-2025 artfynd.xlsx", "A 59126-2025")</f>
        <v/>
      </c>
      <c r="W38">
        <f>HYPERLINK("https://klasma.github.io/Logging_0834/kartor/A 59126-2025 karta.png", "A 59126-2025")</f>
        <v/>
      </c>
      <c r="Y38">
        <f>HYPERLINK("https://klasma.github.io/Logging_0834/klagomål/A 59126-2025 FSC-klagomål.docx", "A 59126-2025")</f>
        <v/>
      </c>
      <c r="Z38">
        <f>HYPERLINK("https://klasma.github.io/Logging_0834/klagomålsmail/A 59126-2025 FSC-klagomål mail.docx", "A 59126-2025")</f>
        <v/>
      </c>
      <c r="AA38">
        <f>HYPERLINK("https://klasma.github.io/Logging_0834/tillsyn/A 59126-2025 tillsynsbegäran.docx", "A 59126-2025")</f>
        <v/>
      </c>
      <c r="AB38">
        <f>HYPERLINK("https://klasma.github.io/Logging_0834/tillsynsmail/A 59126-2025 tillsynsbegäran mail.docx", "A 59126-2025")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46216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Mattlummer</t>
        </is>
      </c>
      <c r="V39">
        <f>HYPERLINK("https://klasma.github.io/Logging_0834/artfynd/A 11606-2026 artfynd.xlsx", "A 11606-2026")</f>
        <v/>
      </c>
      <c r="W39">
        <f>HYPERLINK("https://klasma.github.io/Logging_0834/kartor/A 11606-2026 karta.png", "A 11606-2026")</f>
        <v/>
      </c>
      <c r="Y39">
        <f>HYPERLINK("https://klasma.github.io/Logging_0834/klagomål/A 11606-2026 FSC-klagomål.docx", "A 11606-2026")</f>
        <v/>
      </c>
      <c r="Z39">
        <f>HYPERLINK("https://klasma.github.io/Logging_0834/klagomålsmail/A 11606-2026 FSC-klagomål mail.docx", "A 11606-2026")</f>
        <v/>
      </c>
      <c r="AA39">
        <f>HYPERLINK("https://klasma.github.io/Logging_0834/tillsyn/A 11606-2026 tillsynsbegäran.docx", "A 11606-2026")</f>
        <v/>
      </c>
      <c r="AB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46216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Svinrot</t>
        </is>
      </c>
      <c r="V40">
        <f>HYPERLINK("https://klasma.github.io/Logging_0834/artfynd/A 16467-2026 artfynd.xlsx", "A 16467-2026")</f>
        <v/>
      </c>
      <c r="W40">
        <f>HYPERLINK("https://klasma.github.io/Logging_0834/kartor/A 16467-2026 karta.png", "A 16467-2026")</f>
        <v/>
      </c>
      <c r="Y40">
        <f>HYPERLINK("https://klasma.github.io/Logging_0834/klagomål/A 16467-2026 FSC-klagomål.docx", "A 16467-2026")</f>
        <v/>
      </c>
      <c r="Z40">
        <f>HYPERLINK("https://klasma.github.io/Logging_0834/klagomålsmail/A 16467-2026 FSC-klagomål mail.docx", "A 16467-2026")</f>
        <v/>
      </c>
      <c r="AA40">
        <f>HYPERLINK("https://klasma.github.io/Logging_0834/tillsyn/A 16467-2026 tillsynsbegäran.docx", "A 16467-2026")</f>
        <v/>
      </c>
      <c r="AB40">
        <f>HYPERLINK("https://klasma.github.io/Logging_0834/tillsynsmail/A 16467-2026 tillsynsbegäran mail.docx", "A 16467-2026")</f>
        <v/>
      </c>
    </row>
    <row r="41" ht="15" customHeight="1">
      <c r="A41" t="inlineStr">
        <is>
          <t>A 5755-2022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46216</v>
      </c>
      <c r="F41" t="inlineStr">
        <is>
          <t>KALMAR LÄN</t>
        </is>
      </c>
      <c r="G41" t="inlineStr">
        <is>
          <t>TORSÅS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Åkerkål</t>
        </is>
      </c>
      <c r="V41">
        <f>HYPERLINK("https://klasma.github.io/Logging_0834/artfynd/A 5755-2022 artfynd.xlsx", "A 5755-2022")</f>
        <v/>
      </c>
      <c r="W41">
        <f>HYPERLINK("https://klasma.github.io/Logging_0834/kartor/A 5755-2022 karta.png", "A 5755-2022")</f>
        <v/>
      </c>
      <c r="Y41">
        <f>HYPERLINK("https://klasma.github.io/Logging_0834/klagomål/A 5755-2022 FSC-klagomål.docx", "A 5755-2022")</f>
        <v/>
      </c>
      <c r="Z41">
        <f>HYPERLINK("https://klasma.github.io/Logging_0834/klagomålsmail/A 5755-2022 FSC-klagomål mail.docx", "A 5755-2022")</f>
        <v/>
      </c>
      <c r="AA41">
        <f>HYPERLINK("https://klasma.github.io/Logging_0834/tillsyn/A 5755-2022 tillsynsbegäran.docx", "A 5755-2022")</f>
        <v/>
      </c>
      <c r="AB41">
        <f>HYPERLINK("https://klasma.github.io/Logging_0834/tillsynsmail/A 5755-2022 tillsynsbegäran mail.docx", "A 5755-2022")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46216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Hasselmus</t>
        </is>
      </c>
      <c r="V42">
        <f>HYPERLINK("https://klasma.github.io/Logging_0834/artfynd/A 2277-2023 artfynd.xlsx", "A 2277-2023")</f>
        <v/>
      </c>
      <c r="W42">
        <f>HYPERLINK("https://klasma.github.io/Logging_0834/kartor/A 2277-2023 karta.png", "A 2277-2023")</f>
        <v/>
      </c>
      <c r="Y42">
        <f>HYPERLINK("https://klasma.github.io/Logging_0834/klagomål/A 2277-2023 FSC-klagomål.docx", "A 2277-2023")</f>
        <v/>
      </c>
      <c r="Z42">
        <f>HYPERLINK("https://klasma.github.io/Logging_0834/klagomålsmail/A 2277-2023 FSC-klagomål mail.docx", "A 2277-2023")</f>
        <v/>
      </c>
      <c r="AA42">
        <f>HYPERLINK("https://klasma.github.io/Logging_0834/tillsyn/A 2277-2023 tillsynsbegäran.docx", "A 2277-2023")</f>
        <v/>
      </c>
      <c r="AB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46216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s="2" t="inlineStr">
        <is>
          <t>Gullviva</t>
        </is>
      </c>
      <c r="V43">
        <f>HYPERLINK("https://klasma.github.io/Logging_0834/artfynd/A 52071-2023 artfynd.xlsx", "A 52071-2023")</f>
        <v/>
      </c>
      <c r="W43">
        <f>HYPERLINK("https://klasma.github.io/Logging_0834/kartor/A 52071-2023 karta.png", "A 52071-2023")</f>
        <v/>
      </c>
      <c r="Y43">
        <f>HYPERLINK("https://klasma.github.io/Logging_0834/klagomål/A 52071-2023 FSC-klagomål.docx", "A 52071-2023")</f>
        <v/>
      </c>
      <c r="Z43">
        <f>HYPERLINK("https://klasma.github.io/Logging_0834/klagomålsmail/A 52071-2023 FSC-klagomål mail.docx", "A 52071-2023")</f>
        <v/>
      </c>
      <c r="AA43">
        <f>HYPERLINK("https://klasma.github.io/Logging_0834/tillsyn/A 52071-2023 tillsynsbegäran.docx", "A 52071-2023")</f>
        <v/>
      </c>
      <c r="AB43">
        <f>HYPERLINK("https://klasma.github.io/Logging_0834/tillsynsmail/A 52071-2023 tillsynsbegäran mail.docx", "A 52071-2023")</f>
        <v/>
      </c>
    </row>
    <row r="44" ht="15" customHeight="1">
      <c r="A44" t="inlineStr">
        <is>
          <t>A 24513-2026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46216</v>
      </c>
      <c r="F44" t="inlineStr">
        <is>
          <t>KALMAR LÄN</t>
        </is>
      </c>
      <c r="G44" t="inlineStr">
        <is>
          <t>TORSÅS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Gullviva</t>
        </is>
      </c>
      <c r="V44">
        <f>HYPERLINK("https://klasma.github.io/Logging_0834/artfynd/A 24513-2026 artfynd.xlsx", "A 24513-2026")</f>
        <v/>
      </c>
      <c r="W44">
        <f>HYPERLINK("https://klasma.github.io/Logging_0834/kartor/A 24513-2026 karta.png", "A 24513-2026")</f>
        <v/>
      </c>
      <c r="Y44">
        <f>HYPERLINK("https://klasma.github.io/Logging_0834/klagomål/A 24513-2026 FSC-klagomål.docx", "A 24513-2026")</f>
        <v/>
      </c>
      <c r="Z44">
        <f>HYPERLINK("https://klasma.github.io/Logging_0834/klagomålsmail/A 24513-2026 FSC-klagomål mail.docx", "A 24513-2026")</f>
        <v/>
      </c>
      <c r="AA44">
        <f>HYPERLINK("https://klasma.github.io/Logging_0834/tillsyn/A 24513-2026 tillsynsbegäran.docx", "A 24513-2026")</f>
        <v/>
      </c>
      <c r="AB44">
        <f>HYPERLINK("https://klasma.github.io/Logging_0834/tillsynsmail/A 24513-2026 tillsynsbegäran mail.docx", "A 24513-2026")</f>
        <v/>
      </c>
    </row>
    <row r="45" ht="15" customHeight="1">
      <c r="A45" t="inlineStr">
        <is>
          <t>A 44226-2024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46216</v>
      </c>
      <c r="F45" t="inlineStr">
        <is>
          <t>KALMAR LÄN</t>
        </is>
      </c>
      <c r="G45" t="inlineStr">
        <is>
          <t>TORSÅS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HYPERLINK("https://klasma.github.io/Logging_0834/artfynd/A 44226-2024 artfynd.xlsx", "A 44226-2024")</f>
        <v/>
      </c>
      <c r="W45">
        <f>HYPERLINK("https://klasma.github.io/Logging_0834/kartor/A 44226-2024 karta.png", "A 44226-2024")</f>
        <v/>
      </c>
      <c r="Y45">
        <f>HYPERLINK("https://klasma.github.io/Logging_0834/klagomål/A 44226-2024 FSC-klagomål.docx", "A 44226-2024")</f>
        <v/>
      </c>
      <c r="Z45">
        <f>HYPERLINK("https://klasma.github.io/Logging_0834/klagomålsmail/A 44226-2024 FSC-klagomål mail.docx", "A 44226-2024")</f>
        <v/>
      </c>
      <c r="AA45">
        <f>HYPERLINK("https://klasma.github.io/Logging_0834/tillsyn/A 44226-2024 tillsynsbegäran.docx", "A 44226-2024")</f>
        <v/>
      </c>
      <c r="AB45">
        <f>HYPERLINK("https://klasma.github.io/Logging_0834/tillsynsmail/A 44226-2024 tillsynsbegäran mail.docx", "A 44226-2024")</f>
        <v/>
      </c>
    </row>
    <row r="46" ht="15" customHeight="1">
      <c r="A46" t="inlineStr">
        <is>
          <t>S 4235-2023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45253</v>
      </c>
      <c r="E46" s="1" t="n">
        <v>46216</v>
      </c>
      <c r="F46" t="inlineStr">
        <is>
          <t>KALMAR LÄN</t>
        </is>
      </c>
      <c r="G46" t="inlineStr">
        <is>
          <t>TORSÅS</t>
        </is>
      </c>
      <c r="I46" t="n">
        <v>1.7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Murgröna</t>
        </is>
      </c>
      <c r="V46">
        <f>HYPERLINK("https://klasma.github.io/Logging_0834/artfynd/S 4235-2023 artfynd.xlsx", "S 4235-2023")</f>
        <v/>
      </c>
      <c r="W46">
        <f>HYPERLINK("https://klasma.github.io/Logging_0834/kartor/S 4235-2023 karta.png", "S 4235-2023")</f>
        <v/>
      </c>
      <c r="Y46">
        <f>HYPERLINK("https://klasma.github.io/Logging_0834/klagomål/S 4235-2023 FSC-klagomål.docx", "S 4235-2023")</f>
        <v/>
      </c>
      <c r="Z46">
        <f>HYPERLINK("https://klasma.github.io/Logging_0834/klagomålsmail/S 4235-2023 FSC-klagomål mail.docx", "S 4235-2023")</f>
        <v/>
      </c>
      <c r="AA46">
        <f>HYPERLINK("https://klasma.github.io/Logging_0834/tillsyn/S 4235-2023 tillsynsbegäran.docx", "S 4235-2023")</f>
        <v/>
      </c>
      <c r="AB46">
        <f>HYPERLINK("https://klasma.github.io/Logging_0834/tillsynsmail/S 4235-2023 tillsynsbegäran mail.docx", "S 4235-2023")</f>
        <v/>
      </c>
    </row>
    <row r="47" ht="15" customHeight="1">
      <c r="A47" t="inlineStr">
        <is>
          <t>S 1065-2024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45387</v>
      </c>
      <c r="E47" s="1" t="n">
        <v>46216</v>
      </c>
      <c r="F47" t="inlineStr">
        <is>
          <t>KALMAR LÄN</t>
        </is>
      </c>
      <c r="G47" t="inlineStr">
        <is>
          <t>TORSÅS</t>
        </is>
      </c>
      <c r="I47" t="n">
        <v>44.1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HYPERLINK("https://klasma.github.io/Logging_0834/artfynd/S 1065-2024 artfynd.xlsx", "S 1065-2024")</f>
        <v/>
      </c>
      <c r="W47">
        <f>HYPERLINK("https://klasma.github.io/Logging_0834/kartor/S 1065-2024 karta.png", "S 1065-2024")</f>
        <v/>
      </c>
      <c r="Y47">
        <f>HYPERLINK("https://klasma.github.io/Logging_0834/klagomål/S 1065-2024 FSC-klagomål.docx", "S 1065-2024")</f>
        <v/>
      </c>
      <c r="Z47">
        <f>HYPERLINK("https://klasma.github.io/Logging_0834/klagomålsmail/S 1065-2024 FSC-klagomål mail.docx", "S 1065-2024")</f>
        <v/>
      </c>
      <c r="AA47">
        <f>HYPERLINK("https://klasma.github.io/Logging_0834/tillsyn/S 1065-2024 tillsynsbegäran.docx", "S 1065-2024")</f>
        <v/>
      </c>
      <c r="AB47">
        <f>HYPERLINK("https://klasma.github.io/Logging_0834/tillsynsmail/S 1065-2024 tillsynsbegäran mail.docx", "S 1065-2024")</f>
        <v/>
      </c>
    </row>
    <row r="48" ht="15" customHeight="1">
      <c r="A48" t="inlineStr">
        <is>
          <t>S 1845-2024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45440</v>
      </c>
      <c r="E48" s="1" t="n">
        <v>46216</v>
      </c>
      <c r="F48" t="inlineStr">
        <is>
          <t>KALMAR LÄN</t>
        </is>
      </c>
      <c r="G48" t="inlineStr">
        <is>
          <t>TORSÅS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Långbensgroda</t>
        </is>
      </c>
      <c r="V48">
        <f>HYPERLINK("https://klasma.github.io/Logging_0834/artfynd/S 1845-2024 artfynd.xlsx", "S 1845-2024")</f>
        <v/>
      </c>
      <c r="W48">
        <f>HYPERLINK("https://klasma.github.io/Logging_0834/kartor/S 1845-2024 karta.png", "S 1845-2024")</f>
        <v/>
      </c>
      <c r="Y48">
        <f>HYPERLINK("https://klasma.github.io/Logging_0834/klagomål/S 1845-2024 FSC-klagomål.docx", "S 1845-2024")</f>
        <v/>
      </c>
      <c r="Z48">
        <f>HYPERLINK("https://klasma.github.io/Logging_0834/klagomålsmail/S 1845-2024 FSC-klagomål mail.docx", "S 1845-2024")</f>
        <v/>
      </c>
      <c r="AA48">
        <f>HYPERLINK("https://klasma.github.io/Logging_0834/tillsyn/S 1845-2024 tillsynsbegäran.docx", "S 1845-2024")</f>
        <v/>
      </c>
      <c r="AB48">
        <f>HYPERLINK("https://klasma.github.io/Logging_0834/tillsynsmail/S 1845-2024 tillsynsbegäran mail.docx", "S 1845-2024")</f>
        <v/>
      </c>
    </row>
    <row r="49" ht="15" customHeight="1">
      <c r="A49" t="inlineStr">
        <is>
          <t>S 298-2025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45687</v>
      </c>
      <c r="E49" s="1" t="n">
        <v>46216</v>
      </c>
      <c r="F49" t="inlineStr">
        <is>
          <t>KALMAR LÄN</t>
        </is>
      </c>
      <c r="G49" t="inlineStr">
        <is>
          <t>TORSÅS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Åkerkulla</t>
        </is>
      </c>
      <c r="V49">
        <f>HYPERLINK("https://klasma.github.io/Logging_0834/artfynd/S 298-2025 artfynd.xlsx", "S 298-2025")</f>
        <v/>
      </c>
      <c r="W49">
        <f>HYPERLINK("https://klasma.github.io/Logging_0834/kartor/S 298-2025 karta.png", "S 298-2025")</f>
        <v/>
      </c>
      <c r="Y49">
        <f>HYPERLINK("https://klasma.github.io/Logging_0834/klagomål/S 298-2025 FSC-klagomål.docx", "S 298-2025")</f>
        <v/>
      </c>
      <c r="Z49">
        <f>HYPERLINK("https://klasma.github.io/Logging_0834/klagomålsmail/S 298-2025 FSC-klagomål mail.docx", "S 298-2025")</f>
        <v/>
      </c>
      <c r="AA49">
        <f>HYPERLINK("https://klasma.github.io/Logging_0834/tillsyn/S 298-2025 tillsynsbegäran.docx", "S 298-2025")</f>
        <v/>
      </c>
      <c r="AB49">
        <f>HYPERLINK("https://klasma.github.io/Logging_0834/tillsynsmail/S 298-2025 tillsynsbegäran mail.docx", "S 298-2025")</f>
        <v/>
      </c>
    </row>
    <row r="50" ht="15" customHeight="1">
      <c r="A50" t="inlineStr">
        <is>
          <t>S 595-2023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44971</v>
      </c>
      <c r="E50" s="1" t="n">
        <v>46216</v>
      </c>
      <c r="F50" t="inlineStr">
        <is>
          <t>KALMAR LÄN</t>
        </is>
      </c>
      <c r="G50" t="inlineStr">
        <is>
          <t>TORSÅS</t>
        </is>
      </c>
      <c r="I50" t="n">
        <v>68.8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Tjäder</t>
        </is>
      </c>
      <c r="V50">
        <f>HYPERLINK("https://klasma.github.io/Logging_0834/artfynd/S 595-2023 artfynd.xlsx", "S 595-2023")</f>
        <v/>
      </c>
      <c r="W50">
        <f>HYPERLINK("https://klasma.github.io/Logging_0834/kartor/S 595-2023 karta.png", "S 595-2023")</f>
        <v/>
      </c>
      <c r="Y50">
        <f>HYPERLINK("https://klasma.github.io/Logging_0834/klagomål/S 595-2023 FSC-klagomål.docx", "S 595-2023")</f>
        <v/>
      </c>
      <c r="Z50">
        <f>HYPERLINK("https://klasma.github.io/Logging_0834/klagomålsmail/S 595-2023 FSC-klagomål mail.docx", "S 595-2023")</f>
        <v/>
      </c>
      <c r="AA50">
        <f>HYPERLINK("https://klasma.github.io/Logging_0834/tillsyn/S 595-2023 tillsynsbegäran.docx", "S 595-2023")</f>
        <v/>
      </c>
      <c r="AB50">
        <f>HYPERLINK("https://klasma.github.io/Logging_0834/tillsynsmail/S 595-2023 tillsynsbegäran mail.docx", "S 595-2023")</f>
        <v/>
      </c>
      <c r="AC50">
        <f>HYPERLINK("https://klasma.github.io/Logging_0834/fåglar/S 595-2023 prioriterade fågelarter.docx", "S 595-2023")</f>
        <v/>
      </c>
    </row>
    <row r="51" ht="15" customHeight="1">
      <c r="A51" t="inlineStr">
        <is>
          <t>S 1054-2024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46216</v>
      </c>
      <c r="F51" t="inlineStr">
        <is>
          <t>KALMAR LÄN</t>
        </is>
      </c>
      <c r="G51" t="inlineStr">
        <is>
          <t>TORSÅS</t>
        </is>
      </c>
      <c r="I51" t="n">
        <v>26.1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Revlummer</t>
        </is>
      </c>
      <c r="V51">
        <f>HYPERLINK("https://klasma.github.io/Logging_0834/artfynd/S 1054-2024 artfynd.xlsx", "S 1054-2024")</f>
        <v/>
      </c>
      <c r="W51">
        <f>HYPERLINK("https://klasma.github.io/Logging_0834/kartor/S 1054-2024 karta.png", "S 1054-2024")</f>
        <v/>
      </c>
      <c r="Y51">
        <f>HYPERLINK("https://klasma.github.io/Logging_0834/klagomål/S 1054-2024 FSC-klagomål.docx", "S 1054-2024")</f>
        <v/>
      </c>
      <c r="Z51">
        <f>HYPERLINK("https://klasma.github.io/Logging_0834/klagomålsmail/S 1054-2024 FSC-klagomål mail.docx", "S 1054-2024")</f>
        <v/>
      </c>
      <c r="AA51">
        <f>HYPERLINK("https://klasma.github.io/Logging_0834/tillsyn/S 1054-2024 tillsynsbegäran.docx", "S 1054-2024")</f>
        <v/>
      </c>
      <c r="AB51">
        <f>HYPERLINK("https://klasma.github.io/Logging_0834/tillsynsmail/S 1054-2024 tillsynsbegäran mail.docx", "S 1054-2024")</f>
        <v/>
      </c>
    </row>
    <row r="52" ht="15" customHeight="1">
      <c r="A52" t="inlineStr">
        <is>
          <t>S 586-2026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46084</v>
      </c>
      <c r="E52" s="1" t="n">
        <v>46216</v>
      </c>
      <c r="F52" t="inlineStr">
        <is>
          <t>KALMAR LÄN</t>
        </is>
      </c>
      <c r="G52" t="inlineStr">
        <is>
          <t>TORSÅS</t>
        </is>
      </c>
      <c r="I52" t="n">
        <v>40.4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Tallticka</t>
        </is>
      </c>
      <c r="V52">
        <f>HYPERLINK("https://klasma.github.io/Logging_0834/artfynd/S 586-2026 artfynd.xlsx", "S 586-2026")</f>
        <v/>
      </c>
      <c r="W52">
        <f>HYPERLINK("https://klasma.github.io/Logging_0834/kartor/S 586-2026 karta.png", "S 586-2026")</f>
        <v/>
      </c>
      <c r="Y52">
        <f>HYPERLINK("https://klasma.github.io/Logging_0834/klagomål/S 586-2026 FSC-klagomål.docx", "S 586-2026")</f>
        <v/>
      </c>
      <c r="Z52">
        <f>HYPERLINK("https://klasma.github.io/Logging_0834/klagomålsmail/S 586-2026 FSC-klagomål mail.docx", "S 586-2026")</f>
        <v/>
      </c>
      <c r="AA52">
        <f>HYPERLINK("https://klasma.github.io/Logging_0834/tillsyn/S 586-2026 tillsynsbegäran.docx", "S 586-2026")</f>
        <v/>
      </c>
      <c r="AB52">
        <f>HYPERLINK("https://klasma.github.io/Logging_0834/tillsynsmail/S 586-2026 tillsynsbegäran mail.docx", "S 586-2026")</f>
        <v/>
      </c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46216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46216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46216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46216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44213-2021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46216</v>
      </c>
      <c r="F57" t="inlineStr">
        <is>
          <t>KALMAR LÄN</t>
        </is>
      </c>
      <c r="G57" t="inlineStr">
        <is>
          <t>TORSÅS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54449-2021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46216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46216</v>
      </c>
      <c r="F59" t="inlineStr">
        <is>
          <t>KALMAR LÄN</t>
        </is>
      </c>
      <c r="G59" t="inlineStr">
        <is>
          <t>TORSÅS</t>
        </is>
      </c>
      <c r="I59" t="n">
        <v>27.2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46216</v>
      </c>
      <c r="F60" t="inlineStr">
        <is>
          <t>KALMAR LÄN</t>
        </is>
      </c>
      <c r="G60" t="inlineStr">
        <is>
          <t>TORSÅS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50211-2021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44457</v>
      </c>
      <c r="E61" s="1" t="n">
        <v>46216</v>
      </c>
      <c r="F61" t="inlineStr">
        <is>
          <t>KALMAR LÄN</t>
        </is>
      </c>
      <c r="G61" t="inlineStr">
        <is>
          <t>TORSÅS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30647-2022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44763</v>
      </c>
      <c r="E62" s="1" t="n">
        <v>46216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45798-2022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46216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46216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68873-2021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46216</v>
      </c>
      <c r="F65" t="inlineStr">
        <is>
          <t>KALMAR LÄN</t>
        </is>
      </c>
      <c r="G65" t="inlineStr">
        <is>
          <t>TORSÅS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44839</v>
      </c>
      <c r="E66" s="1" t="n">
        <v>46216</v>
      </c>
      <c r="F66" t="inlineStr">
        <is>
          <t>KALMAR LÄN</t>
        </is>
      </c>
      <c r="G66" t="inlineStr">
        <is>
          <t>TORSÅS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46216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49683-2022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46216</v>
      </c>
      <c r="F68" t="inlineStr">
        <is>
          <t>KALMAR LÄN</t>
        </is>
      </c>
      <c r="G68" t="inlineStr">
        <is>
          <t>TORSÅS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50209-2021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44457</v>
      </c>
      <c r="E69" s="1" t="n">
        <v>46216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46216</v>
      </c>
      <c r="F70" t="inlineStr">
        <is>
          <t>KALMAR LÄN</t>
        </is>
      </c>
      <c r="G70" t="inlineStr">
        <is>
          <t>TORSÅS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44883</v>
      </c>
      <c r="E71" s="1" t="n">
        <v>46216</v>
      </c>
      <c r="F71" t="inlineStr">
        <is>
          <t>KALMAR LÄN</t>
        </is>
      </c>
      <c r="G71" t="inlineStr">
        <is>
          <t>TORSÅS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46216</v>
      </c>
      <c r="F72" t="inlineStr">
        <is>
          <t>KALMAR LÄN</t>
        </is>
      </c>
      <c r="G72" t="inlineStr">
        <is>
          <t>TORSÅS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46216</v>
      </c>
      <c r="F73" t="inlineStr">
        <is>
          <t>KALMAR LÄN</t>
        </is>
      </c>
      <c r="G73" t="inlineStr">
        <is>
          <t>TORSÅS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46216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46216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44452</v>
      </c>
      <c r="E76" s="1" t="n">
        <v>46216</v>
      </c>
      <c r="F76" t="inlineStr">
        <is>
          <t>KALMAR LÄN</t>
        </is>
      </c>
      <c r="G76" t="inlineStr">
        <is>
          <t>TORSÅS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58920-2021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44489</v>
      </c>
      <c r="E77" s="1" t="n">
        <v>46216</v>
      </c>
      <c r="F77" t="inlineStr">
        <is>
          <t>KALMAR LÄN</t>
        </is>
      </c>
      <c r="G77" t="inlineStr">
        <is>
          <t>TORSÅS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65912-2021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46216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46216</v>
      </c>
      <c r="F79" t="inlineStr">
        <is>
          <t>KALMAR LÄN</t>
        </is>
      </c>
      <c r="G79" t="inlineStr">
        <is>
          <t>TORSÅS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52470-2021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46216</v>
      </c>
      <c r="F80" t="inlineStr">
        <is>
          <t>KALMAR LÄN</t>
        </is>
      </c>
      <c r="G80" t="inlineStr">
        <is>
          <t>TORSÅS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55288-2021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46216</v>
      </c>
      <c r="F81" t="inlineStr">
        <is>
          <t>KALMAR LÄN</t>
        </is>
      </c>
      <c r="G81" t="inlineStr">
        <is>
          <t>TORSÅS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46216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64991-2021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44514</v>
      </c>
      <c r="E83" s="1" t="n">
        <v>46216</v>
      </c>
      <c r="F83" t="inlineStr">
        <is>
          <t>KALMAR LÄN</t>
        </is>
      </c>
      <c r="G83" t="inlineStr">
        <is>
          <t>TORSÅS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69679-2021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46216</v>
      </c>
      <c r="F84" t="inlineStr">
        <is>
          <t>KALMAR LÄN</t>
        </is>
      </c>
      <c r="G84" t="inlineStr">
        <is>
          <t>TORSÅS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70317-2021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44536</v>
      </c>
      <c r="E85" s="1" t="n">
        <v>46216</v>
      </c>
      <c r="F85" t="inlineStr">
        <is>
          <t>KALMAR LÄN</t>
        </is>
      </c>
      <c r="G85" t="inlineStr">
        <is>
          <t>TORSÅS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46216</v>
      </c>
      <c r="F86" t="inlineStr">
        <is>
          <t>KALMAR LÄN</t>
        </is>
      </c>
      <c r="G86" t="inlineStr">
        <is>
          <t>TORSÅS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38823-2021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44411</v>
      </c>
      <c r="E87" s="1" t="n">
        <v>46216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47507-2021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46216</v>
      </c>
      <c r="F88" t="inlineStr">
        <is>
          <t>KALMAR LÄN</t>
        </is>
      </c>
      <c r="G88" t="inlineStr">
        <is>
          <t>TORSÅS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44879</v>
      </c>
      <c r="E89" s="1" t="n">
        <v>46216</v>
      </c>
      <c r="F89" t="inlineStr">
        <is>
          <t>KALMAR LÄN</t>
        </is>
      </c>
      <c r="G89" t="inlineStr">
        <is>
          <t>TORSÅS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21889-2022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46216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14383-2022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44652</v>
      </c>
      <c r="E91" s="1" t="n">
        <v>46216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46216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44599</v>
      </c>
      <c r="E93" s="1" t="n">
        <v>46216</v>
      </c>
      <c r="F93" t="inlineStr">
        <is>
          <t>KALMAR LÄN</t>
        </is>
      </c>
      <c r="G93" t="inlineStr">
        <is>
          <t>TORSÅS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55292-2021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46216</v>
      </c>
      <c r="F94" t="inlineStr">
        <is>
          <t>KALMAR LÄN</t>
        </is>
      </c>
      <c r="G94" t="inlineStr">
        <is>
          <t>TORSÅS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58776-2021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46216</v>
      </c>
      <c r="F95" t="inlineStr">
        <is>
          <t>KALMAR LÄN</t>
        </is>
      </c>
      <c r="G95" t="inlineStr">
        <is>
          <t>TORSÅS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46216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46216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46216</v>
      </c>
      <c r="F98" t="inlineStr">
        <is>
          <t>KALMAR LÄN</t>
        </is>
      </c>
      <c r="G98" t="inlineStr">
        <is>
          <t>TORSÅS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46216</v>
      </c>
      <c r="F99" t="inlineStr">
        <is>
          <t>KALMAR LÄN</t>
        </is>
      </c>
      <c r="G99" t="inlineStr">
        <is>
          <t>TORSÅS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65647-2021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46216</v>
      </c>
      <c r="F100" t="inlineStr">
        <is>
          <t>KALMAR LÄN</t>
        </is>
      </c>
      <c r="G100" t="inlineStr">
        <is>
          <t>TORSÅS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47444-2021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46216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44580</v>
      </c>
      <c r="E102" s="1" t="n">
        <v>46216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46216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46216</v>
      </c>
      <c r="F104" t="inlineStr">
        <is>
          <t>KALMAR LÄN</t>
        </is>
      </c>
      <c r="G104" t="inlineStr">
        <is>
          <t>TORSÅS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28592-2022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44748</v>
      </c>
      <c r="E105" s="1" t="n">
        <v>46216</v>
      </c>
      <c r="F105" t="inlineStr">
        <is>
          <t>KALMAR LÄN</t>
        </is>
      </c>
      <c r="G105" t="inlineStr">
        <is>
          <t>TORSÅS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47318-2022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46216</v>
      </c>
      <c r="F106" t="inlineStr">
        <is>
          <t>KALMAR LÄN</t>
        </is>
      </c>
      <c r="G106" t="inlineStr">
        <is>
          <t>TORSÅS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65157-2023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45288</v>
      </c>
      <c r="E107" s="1" t="n">
        <v>46216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65159-2023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45288</v>
      </c>
      <c r="E108" s="1" t="n">
        <v>46216</v>
      </c>
      <c r="F108" t="inlineStr">
        <is>
          <t>KALMAR LÄN</t>
        </is>
      </c>
      <c r="G108" t="inlineStr">
        <is>
          <t>TORSÅS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46640-2022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44849</v>
      </c>
      <c r="E109" s="1" t="n">
        <v>46216</v>
      </c>
      <c r="F109" t="inlineStr">
        <is>
          <t>KALMAR LÄN</t>
        </is>
      </c>
      <c r="G109" t="inlineStr">
        <is>
          <t>TORSÅS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18689-2024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46216</v>
      </c>
      <c r="F110" t="inlineStr">
        <is>
          <t>KALMAR LÄN</t>
        </is>
      </c>
      <c r="G110" t="inlineStr">
        <is>
          <t>TORSÅS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46216</v>
      </c>
      <c r="F111" t="inlineStr">
        <is>
          <t>KALMAR LÄN</t>
        </is>
      </c>
      <c r="G111" t="inlineStr">
        <is>
          <t>TORSÅS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9683-2024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46216</v>
      </c>
      <c r="F112" t="inlineStr">
        <is>
          <t>KALMAR LÄN</t>
        </is>
      </c>
      <c r="G112" t="inlineStr">
        <is>
          <t>TORSÅS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10652-2023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46216</v>
      </c>
      <c r="F113" t="inlineStr">
        <is>
          <t>KALMAR LÄN</t>
        </is>
      </c>
      <c r="G113" t="inlineStr">
        <is>
          <t>TORSÅS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49331-2022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46216</v>
      </c>
      <c r="F114" t="inlineStr">
        <is>
          <t>KALMAR LÄN</t>
        </is>
      </c>
      <c r="G114" t="inlineStr">
        <is>
          <t>TORSÅS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38521-2021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44407</v>
      </c>
      <c r="E115" s="1" t="n">
        <v>46216</v>
      </c>
      <c r="F115" t="inlineStr">
        <is>
          <t>KALMAR LÄN</t>
        </is>
      </c>
      <c r="G115" t="inlineStr">
        <is>
          <t>TORSÅS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46216</v>
      </c>
      <c r="F116" t="inlineStr">
        <is>
          <t>KALMAR LÄN</t>
        </is>
      </c>
      <c r="G116" t="inlineStr">
        <is>
          <t>TORSÅS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30648-2022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44763</v>
      </c>
      <c r="E117" s="1" t="n">
        <v>46216</v>
      </c>
      <c r="F117" t="inlineStr">
        <is>
          <t>KALMAR LÄN</t>
        </is>
      </c>
      <c r="G117" t="inlineStr">
        <is>
          <t>TORSÅS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12915-2023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45001</v>
      </c>
      <c r="E118" s="1" t="n">
        <v>46216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46216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17815-2023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46216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19648-2025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46216</v>
      </c>
      <c r="F121" t="inlineStr">
        <is>
          <t>KALMAR LÄN</t>
        </is>
      </c>
      <c r="G121" t="inlineStr">
        <is>
          <t>TORSÅS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37551-2023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46216</v>
      </c>
      <c r="F122" t="inlineStr">
        <is>
          <t>KALMAR LÄN</t>
        </is>
      </c>
      <c r="G122" t="inlineStr">
        <is>
          <t>TORSÅS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46216</v>
      </c>
      <c r="F123" t="inlineStr">
        <is>
          <t>KALMAR LÄN</t>
        </is>
      </c>
      <c r="G123" t="inlineStr">
        <is>
          <t>TORSÅS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8512-2022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46216</v>
      </c>
      <c r="F124" t="inlineStr">
        <is>
          <t>KALMAR LÄN</t>
        </is>
      </c>
      <c r="G124" t="inlineStr">
        <is>
          <t>TORSÅS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34285-2022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44792</v>
      </c>
      <c r="E125" s="1" t="n">
        <v>46216</v>
      </c>
      <c r="F125" t="inlineStr">
        <is>
          <t>KALMAR LÄN</t>
        </is>
      </c>
      <c r="G125" t="inlineStr">
        <is>
          <t>TORSÅS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56360-2022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46216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46216</v>
      </c>
      <c r="F127" t="inlineStr">
        <is>
          <t>KALMAR LÄN</t>
        </is>
      </c>
      <c r="G127" t="inlineStr">
        <is>
          <t>TORSÅS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46216</v>
      </c>
      <c r="F128" t="inlineStr">
        <is>
          <t>KALMAR LÄN</t>
        </is>
      </c>
      <c r="G128" t="inlineStr">
        <is>
          <t>TORSÅS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60360-2022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46216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31760-2022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46216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55967-2023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46216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12956-2023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46216</v>
      </c>
      <c r="F132" t="inlineStr">
        <is>
          <t>KALMAR LÄN</t>
        </is>
      </c>
      <c r="G132" t="inlineStr">
        <is>
          <t>TORSÅS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12957-2023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46216</v>
      </c>
      <c r="F133" t="inlineStr">
        <is>
          <t>KALMAR LÄN</t>
        </is>
      </c>
      <c r="G133" t="inlineStr">
        <is>
          <t>TORSÅS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17819-2022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46216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17820-2022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46216</v>
      </c>
      <c r="F135" t="inlineStr">
        <is>
          <t>KALMAR LÄN</t>
        </is>
      </c>
      <c r="G135" t="inlineStr">
        <is>
          <t>TORSÅS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37210-2023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46216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46216</v>
      </c>
      <c r="F137" t="inlineStr">
        <is>
          <t>KALMAR LÄN</t>
        </is>
      </c>
      <c r="G137" t="inlineStr">
        <is>
          <t>TORSÅS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46216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46216</v>
      </c>
      <c r="F139" t="inlineStr">
        <is>
          <t>KALMAR LÄN</t>
        </is>
      </c>
      <c r="G139" t="inlineStr">
        <is>
          <t>TORSÅS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10472-2023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44987</v>
      </c>
      <c r="E140" s="1" t="n">
        <v>46216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12163-2023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46216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46216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19789-2023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46216</v>
      </c>
      <c r="F143" t="inlineStr">
        <is>
          <t>KALMAR LÄN</t>
        </is>
      </c>
      <c r="G143" t="inlineStr">
        <is>
          <t>TORSÅS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46607-2023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46216</v>
      </c>
      <c r="F144" t="inlineStr">
        <is>
          <t>KALMAR LÄN</t>
        </is>
      </c>
      <c r="G144" t="inlineStr">
        <is>
          <t>TORSÅS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46216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51274-2023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46216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51275-2023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46216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56317-2024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46216</v>
      </c>
      <c r="F148" t="inlineStr">
        <is>
          <t>KALMAR LÄN</t>
        </is>
      </c>
      <c r="G148" t="inlineStr">
        <is>
          <t>TORSÅS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38847-2023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46216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46216</v>
      </c>
      <c r="F150" t="inlineStr">
        <is>
          <t>KALMAR LÄN</t>
        </is>
      </c>
      <c r="G150" t="inlineStr">
        <is>
          <t>TORSÅS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7969-2024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46216</v>
      </c>
      <c r="F151" t="inlineStr">
        <is>
          <t>KALMAR LÄN</t>
        </is>
      </c>
      <c r="G151" t="inlineStr">
        <is>
          <t>TORSÅS</t>
        </is>
      </c>
      <c r="I151" t="n">
        <v>13.8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51610-2023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46216</v>
      </c>
      <c r="F152" t="inlineStr">
        <is>
          <t>KALMAR LÄN</t>
        </is>
      </c>
      <c r="G152" t="inlineStr">
        <is>
          <t>TORSÅS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53367-2022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46216</v>
      </c>
      <c r="F153" t="inlineStr">
        <is>
          <t>KALMAR LÄN</t>
        </is>
      </c>
      <c r="G153" t="inlineStr">
        <is>
          <t>TORSÅS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29933-2024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45488</v>
      </c>
      <c r="E154" s="1" t="n">
        <v>46216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45050</v>
      </c>
      <c r="E155" s="1" t="n">
        <v>46216</v>
      </c>
      <c r="F155" t="inlineStr">
        <is>
          <t>KALMAR LÄN</t>
        </is>
      </c>
      <c r="G155" t="inlineStr">
        <is>
          <t>TORSÅS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46216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46216</v>
      </c>
      <c r="F157" t="inlineStr">
        <is>
          <t>KALMAR LÄN</t>
        </is>
      </c>
      <c r="G157" t="inlineStr">
        <is>
          <t>TORSÅS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46216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45690-2023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45195</v>
      </c>
      <c r="E159" s="1" t="n">
        <v>46216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46216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40298-2025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46216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9757-2023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46216</v>
      </c>
      <c r="F162" t="inlineStr">
        <is>
          <t>KALMAR LÄN</t>
        </is>
      </c>
      <c r="G162" t="inlineStr">
        <is>
          <t>TORSÅS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46216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28945-2025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45820</v>
      </c>
      <c r="E164" s="1" t="n">
        <v>46216</v>
      </c>
      <c r="F164" t="inlineStr">
        <is>
          <t>KALMAR LÄN</t>
        </is>
      </c>
      <c r="G164" t="inlineStr">
        <is>
          <t>TORSÅS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35708-2024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46216</v>
      </c>
      <c r="F165" t="inlineStr">
        <is>
          <t>KALMAR LÄN</t>
        </is>
      </c>
      <c r="G165" t="inlineStr">
        <is>
          <t>TORSÅS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16263-2024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45407</v>
      </c>
      <c r="E166" s="1" t="n">
        <v>46216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46216</v>
      </c>
      <c r="F167" t="inlineStr">
        <is>
          <t>KALMAR LÄN</t>
        </is>
      </c>
      <c r="G167" t="inlineStr">
        <is>
          <t>TORSÅS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46216</v>
      </c>
      <c r="F168" t="inlineStr">
        <is>
          <t>KALMAR LÄN</t>
        </is>
      </c>
      <c r="G168" t="inlineStr">
        <is>
          <t>TORSÅS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30225-2025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46216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49330-2022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46216</v>
      </c>
      <c r="F170" t="inlineStr">
        <is>
          <t>KALMAR LÄN</t>
        </is>
      </c>
      <c r="G170" t="inlineStr">
        <is>
          <t>TORSÅS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21604-2023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45063</v>
      </c>
      <c r="E171" s="1" t="n">
        <v>46216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24672-2025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45798</v>
      </c>
      <c r="E172" s="1" t="n">
        <v>46216</v>
      </c>
      <c r="F172" t="inlineStr">
        <is>
          <t>KALMAR LÄN</t>
        </is>
      </c>
      <c r="G172" t="inlineStr">
        <is>
          <t>TORSÅS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65651-2021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44516</v>
      </c>
      <c r="E173" s="1" t="n">
        <v>46216</v>
      </c>
      <c r="F173" t="inlineStr">
        <is>
          <t>KALMAR LÄN</t>
        </is>
      </c>
      <c r="G173" t="inlineStr">
        <is>
          <t>TORSÅS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46216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58615-2023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46216</v>
      </c>
      <c r="F175" t="inlineStr">
        <is>
          <t>KALMAR LÄN</t>
        </is>
      </c>
      <c r="G175" t="inlineStr">
        <is>
          <t>TORSÅS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41572-2022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44827</v>
      </c>
      <c r="E176" s="1" t="n">
        <v>46216</v>
      </c>
      <c r="F176" t="inlineStr">
        <is>
          <t>KALMAR LÄN</t>
        </is>
      </c>
      <c r="G176" t="inlineStr">
        <is>
          <t>TORSÅS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46216</v>
      </c>
      <c r="F177" t="inlineStr">
        <is>
          <t>KALMAR LÄN</t>
        </is>
      </c>
      <c r="G177" t="inlineStr">
        <is>
          <t>TORSÅS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55980-2022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46216</v>
      </c>
      <c r="F178" t="inlineStr">
        <is>
          <t>KALMAR LÄN</t>
        </is>
      </c>
      <c r="G178" t="inlineStr">
        <is>
          <t>TORSÅS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44484-2025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46216</v>
      </c>
      <c r="F179" t="inlineStr">
        <is>
          <t>KALMAR LÄN</t>
        </is>
      </c>
      <c r="G179" t="inlineStr">
        <is>
          <t>TORSÅS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44712-2025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46216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32922-2025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46216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44705-2025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46216</v>
      </c>
      <c r="F182" t="inlineStr">
        <is>
          <t>KALMAR LÄN</t>
        </is>
      </c>
      <c r="G182" t="inlineStr">
        <is>
          <t>TORSÅS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44686-2025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46216</v>
      </c>
      <c r="F183" t="inlineStr">
        <is>
          <t>KALMAR LÄN</t>
        </is>
      </c>
      <c r="G183" t="inlineStr">
        <is>
          <t>TORSÅS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46216</v>
      </c>
      <c r="F184" t="inlineStr">
        <is>
          <t>KALMAR LÄN</t>
        </is>
      </c>
      <c r="G184" t="inlineStr">
        <is>
          <t>TORSÅS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46216</v>
      </c>
      <c r="F185" t="inlineStr">
        <is>
          <t>KALMAR LÄN</t>
        </is>
      </c>
      <c r="G185" t="inlineStr">
        <is>
          <t>TORSÅS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44568-2025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46216</v>
      </c>
      <c r="F186" t="inlineStr">
        <is>
          <t>KALMAR LÄN</t>
        </is>
      </c>
      <c r="G186" t="inlineStr">
        <is>
          <t>TORSÅS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46216</v>
      </c>
      <c r="F187" t="inlineStr">
        <is>
          <t>KALMAR LÄN</t>
        </is>
      </c>
      <c r="G187" t="inlineStr">
        <is>
          <t>TORSÅS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45000</v>
      </c>
      <c r="E188" s="1" t="n">
        <v>46216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46098-2025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46216</v>
      </c>
      <c r="F189" t="inlineStr">
        <is>
          <t>KALMAR LÄN</t>
        </is>
      </c>
      <c r="G189" t="inlineStr">
        <is>
          <t>TORSÅS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46411-2025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46216</v>
      </c>
      <c r="F190" t="inlineStr">
        <is>
          <t>KALMAR LÄN</t>
        </is>
      </c>
      <c r="G190" t="inlineStr">
        <is>
          <t>TORSÅS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46216</v>
      </c>
      <c r="F191" t="inlineStr">
        <is>
          <t>KALMAR LÄN</t>
        </is>
      </c>
      <c r="G191" t="inlineStr">
        <is>
          <t>TORSÅS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70315-2021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46216</v>
      </c>
      <c r="F192" t="inlineStr">
        <is>
          <t>KALMAR LÄN</t>
        </is>
      </c>
      <c r="G192" t="inlineStr">
        <is>
          <t>TORSÅS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62661-2023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46216</v>
      </c>
      <c r="F193" t="inlineStr">
        <is>
          <t>KALMAR LÄN</t>
        </is>
      </c>
      <c r="G193" t="inlineStr">
        <is>
          <t>TORSÅS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27217-2022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46216</v>
      </c>
      <c r="F194" t="inlineStr">
        <is>
          <t>KALMAR LÄN</t>
        </is>
      </c>
      <c r="G194" t="inlineStr">
        <is>
          <t>TORSÅS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35771-2025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46216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46216</v>
      </c>
      <c r="F196" t="inlineStr">
        <is>
          <t>KALMAR LÄN</t>
        </is>
      </c>
      <c r="G196" t="inlineStr">
        <is>
          <t>TORSÅS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36526-2025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46216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45869</v>
      </c>
      <c r="E198" s="1" t="n">
        <v>46216</v>
      </c>
      <c r="F198" t="inlineStr">
        <is>
          <t>KALMAR LÄN</t>
        </is>
      </c>
      <c r="G198" t="inlineStr">
        <is>
          <t>TORSÅS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36527-2025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45869</v>
      </c>
      <c r="E199" s="1" t="n">
        <v>46216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52594-2023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46216</v>
      </c>
      <c r="F200" t="inlineStr">
        <is>
          <t>KALMAR LÄN</t>
        </is>
      </c>
      <c r="G200" t="inlineStr">
        <is>
          <t>TORSÅS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46622-2024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45583</v>
      </c>
      <c r="E201" s="1" t="n">
        <v>46216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26515-2022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44739</v>
      </c>
      <c r="E202" s="1" t="n">
        <v>46216</v>
      </c>
      <c r="F202" t="inlineStr">
        <is>
          <t>KALMAR LÄN</t>
        </is>
      </c>
      <c r="G202" t="inlineStr">
        <is>
          <t>TORSÅS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37622-2025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46216</v>
      </c>
      <c r="F203" t="inlineStr">
        <is>
          <t>KALMAR LÄN</t>
        </is>
      </c>
      <c r="G203" t="inlineStr">
        <is>
          <t>TORSÅS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8975-2025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46216</v>
      </c>
      <c r="F204" t="inlineStr">
        <is>
          <t>KALMAR LÄN</t>
        </is>
      </c>
      <c r="G204" t="inlineStr">
        <is>
          <t>TORSÅS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37626-2025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45880</v>
      </c>
      <c r="E205" s="1" t="n">
        <v>46216</v>
      </c>
      <c r="F205" t="inlineStr">
        <is>
          <t>KALMAR LÄN</t>
        </is>
      </c>
      <c r="G205" t="inlineStr">
        <is>
          <t>TORSÅS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46216</v>
      </c>
      <c r="F206" t="inlineStr">
        <is>
          <t>KALMAR LÄN</t>
        </is>
      </c>
      <c r="G206" t="inlineStr">
        <is>
          <t>TORSÅS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44942</v>
      </c>
      <c r="E207" s="1" t="n">
        <v>46216</v>
      </c>
      <c r="F207" t="inlineStr">
        <is>
          <t>KALMAR LÄN</t>
        </is>
      </c>
      <c r="G207" t="inlineStr">
        <is>
          <t>TORSÅS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51607-2023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46216</v>
      </c>
      <c r="F208" t="inlineStr">
        <is>
          <t>KALMAR LÄN</t>
        </is>
      </c>
      <c r="G208" t="inlineStr">
        <is>
          <t>TORSÅS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51647-2023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46216</v>
      </c>
      <c r="F209" t="inlineStr">
        <is>
          <t>KALMAR LÄN</t>
        </is>
      </c>
      <c r="G209" t="inlineStr">
        <is>
          <t>TORSÅS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51022-2025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46216</v>
      </c>
      <c r="F210" t="inlineStr">
        <is>
          <t>KALMAR LÄN</t>
        </is>
      </c>
      <c r="G210" t="inlineStr">
        <is>
          <t>TORSÅS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50962-2025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46216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51643-2025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46216</v>
      </c>
      <c r="F212" t="inlineStr">
        <is>
          <t>KALMAR LÄN</t>
        </is>
      </c>
      <c r="G212" t="inlineStr">
        <is>
          <t>TORSÅS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60810-2022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46216</v>
      </c>
      <c r="F213" t="inlineStr">
        <is>
          <t>KALMAR LÄN</t>
        </is>
      </c>
      <c r="G213" t="inlineStr">
        <is>
          <t>TORSÅS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46216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46216</v>
      </c>
      <c r="F215" t="inlineStr">
        <is>
          <t>KALMAR LÄN</t>
        </is>
      </c>
      <c r="G215" t="inlineStr">
        <is>
          <t>TORSÅS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23091-2023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46216</v>
      </c>
      <c r="F216" t="inlineStr">
        <is>
          <t>KALMAR LÄN</t>
        </is>
      </c>
      <c r="G216" t="inlineStr">
        <is>
          <t>TORSÅS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34623-2022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46216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62649-2023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46216</v>
      </c>
      <c r="F218" t="inlineStr">
        <is>
          <t>KALMAR LÄN</t>
        </is>
      </c>
      <c r="G218" t="inlineStr">
        <is>
          <t>TORSÅS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34636-2022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44795</v>
      </c>
      <c r="E219" s="1" t="n">
        <v>46216</v>
      </c>
      <c r="F219" t="inlineStr">
        <is>
          <t>KALMAR LÄN</t>
        </is>
      </c>
      <c r="G219" t="inlineStr">
        <is>
          <t>TORSÅS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53112-2025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46216</v>
      </c>
      <c r="F220" t="inlineStr">
        <is>
          <t>KALMAR LÄN</t>
        </is>
      </c>
      <c r="G220" t="inlineStr">
        <is>
          <t>TORSÅS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58680-2022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46216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35046-2023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46216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58439-2023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46216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16446-2022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46216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46216</v>
      </c>
      <c r="F225" t="inlineStr">
        <is>
          <t>KALMAR LÄN</t>
        </is>
      </c>
      <c r="G225" t="inlineStr">
        <is>
          <t>TORSÅS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35048-2023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46216</v>
      </c>
      <c r="F226" t="inlineStr">
        <is>
          <t>KALMAR LÄN</t>
        </is>
      </c>
      <c r="G226" t="inlineStr">
        <is>
          <t>TORSÅS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46216</v>
      </c>
      <c r="F227" t="inlineStr">
        <is>
          <t>KALMAR LÄN</t>
        </is>
      </c>
      <c r="G227" t="inlineStr">
        <is>
          <t>TORSÅS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6530-2026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46216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46216</v>
      </c>
      <c r="F229" t="inlineStr">
        <is>
          <t>KALMAR LÄN</t>
        </is>
      </c>
      <c r="G229" t="inlineStr">
        <is>
          <t>TORSÅS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45982</v>
      </c>
      <c r="E230" s="1" t="n">
        <v>46216</v>
      </c>
      <c r="F230" t="inlineStr">
        <is>
          <t>KALMAR LÄN</t>
        </is>
      </c>
      <c r="G230" t="inlineStr">
        <is>
          <t>TORSÅS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46216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46216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7469-2026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46216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46082-2023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46216</v>
      </c>
      <c r="F234" t="inlineStr">
        <is>
          <t>KALMAR LÄN</t>
        </is>
      </c>
      <c r="G234" t="inlineStr">
        <is>
          <t>TORSÅS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59129-2025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46216</v>
      </c>
      <c r="F235" t="inlineStr">
        <is>
          <t>KALMAR LÄN</t>
        </is>
      </c>
      <c r="G235" t="inlineStr">
        <is>
          <t>TORSÅS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59130-2025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45988</v>
      </c>
      <c r="E236" s="1" t="n">
        <v>46216</v>
      </c>
      <c r="F236" t="inlineStr">
        <is>
          <t>KALMAR LÄN</t>
        </is>
      </c>
      <c r="G236" t="inlineStr">
        <is>
          <t>TORSÅS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52252-2023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45224</v>
      </c>
      <c r="E237" s="1" t="n">
        <v>46216</v>
      </c>
      <c r="F237" t="inlineStr">
        <is>
          <t>KALMAR LÄN</t>
        </is>
      </c>
      <c r="G237" t="inlineStr">
        <is>
          <t>TORSÅS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9185-2026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46216</v>
      </c>
      <c r="F238" t="inlineStr">
        <is>
          <t>KALMAR LÄN</t>
        </is>
      </c>
      <c r="G238" t="inlineStr">
        <is>
          <t>TORSÅS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9175-2026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46070</v>
      </c>
      <c r="E239" s="1" t="n">
        <v>46216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15162-2023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46216</v>
      </c>
      <c r="F240" t="inlineStr">
        <is>
          <t>KALMAR LÄN</t>
        </is>
      </c>
      <c r="G240" t="inlineStr">
        <is>
          <t>TORSÅS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58804-2023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46216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56701-2025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45977</v>
      </c>
      <c r="E242" s="1" t="n">
        <v>46216</v>
      </c>
      <c r="F242" t="inlineStr">
        <is>
          <t>KALMAR LÄN</t>
        </is>
      </c>
      <c r="G242" t="inlineStr">
        <is>
          <t>TORSÅS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61498-2025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46216</v>
      </c>
      <c r="F243" t="inlineStr">
        <is>
          <t>KALMAR LÄN</t>
        </is>
      </c>
      <c r="G243" t="inlineStr">
        <is>
          <t>TORSÅS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61409-2025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46216</v>
      </c>
      <c r="F244" t="inlineStr">
        <is>
          <t>KALMAR LÄN</t>
        </is>
      </c>
      <c r="G244" t="inlineStr">
        <is>
          <t>TORSÅS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59284-2021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46216</v>
      </c>
      <c r="F245" t="inlineStr">
        <is>
          <t>KALMAR LÄN</t>
        </is>
      </c>
      <c r="G245" t="inlineStr">
        <is>
          <t>TORSÅS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61499-2025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46216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16498-2024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46216</v>
      </c>
      <c r="F247" t="inlineStr">
        <is>
          <t>KALMAR LÄN</t>
        </is>
      </c>
      <c r="G247" t="inlineStr">
        <is>
          <t>TORSÅS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46216</v>
      </c>
      <c r="F248" t="inlineStr">
        <is>
          <t>KALMAR LÄN</t>
        </is>
      </c>
      <c r="G248" t="inlineStr">
        <is>
          <t>TORSÅS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22564-2024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45447</v>
      </c>
      <c r="E249" s="1" t="n">
        <v>46216</v>
      </c>
      <c r="F249" t="inlineStr">
        <is>
          <t>KALMAR LÄN</t>
        </is>
      </c>
      <c r="G249" t="inlineStr">
        <is>
          <t>TORSÅS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46216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46216</v>
      </c>
      <c r="F251" t="inlineStr">
        <is>
          <t>KALMAR LÄN</t>
        </is>
      </c>
      <c r="G251" t="inlineStr">
        <is>
          <t>TORSÅS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8479-2022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44613</v>
      </c>
      <c r="E252" s="1" t="n">
        <v>46216</v>
      </c>
      <c r="F252" t="inlineStr">
        <is>
          <t>KALMAR LÄN</t>
        </is>
      </c>
      <c r="G252" t="inlineStr">
        <is>
          <t>TORSÅS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21577-2022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44706</v>
      </c>
      <c r="E253" s="1" t="n">
        <v>46216</v>
      </c>
      <c r="F253" t="inlineStr">
        <is>
          <t>KALMAR LÄN</t>
        </is>
      </c>
      <c r="G253" t="inlineStr">
        <is>
          <t>TORSÅS</t>
        </is>
      </c>
      <c r="I253" t="n">
        <v>8.300000000000001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46216</v>
      </c>
      <c r="F254" t="inlineStr">
        <is>
          <t>KALMAR LÄN</t>
        </is>
      </c>
      <c r="G254" t="inlineStr">
        <is>
          <t>TORSÅS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11642-2026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46216</v>
      </c>
      <c r="F255" t="inlineStr">
        <is>
          <t>KALMAR LÄN</t>
        </is>
      </c>
      <c r="G255" t="inlineStr">
        <is>
          <t>TORSÅS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46216</v>
      </c>
      <c r="F256" t="inlineStr">
        <is>
          <t>KALMAR LÄN</t>
        </is>
      </c>
      <c r="G256" t="inlineStr">
        <is>
          <t>TORSÅS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11609-2026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46216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51781-2023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45222</v>
      </c>
      <c r="E258" s="1" t="n">
        <v>46216</v>
      </c>
      <c r="F258" t="inlineStr">
        <is>
          <t>KALMAR LÄN</t>
        </is>
      </c>
      <c r="G258" t="inlineStr">
        <is>
          <t>TORSÅS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11420-2026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46216</v>
      </c>
      <c r="F259" t="inlineStr">
        <is>
          <t>KALMAR LÄN</t>
        </is>
      </c>
      <c r="G259" t="inlineStr">
        <is>
          <t>TORSÅS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22894-2025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45790</v>
      </c>
      <c r="E260" s="1" t="n">
        <v>46216</v>
      </c>
      <c r="F260" t="inlineStr">
        <is>
          <t>KALMAR LÄN</t>
        </is>
      </c>
      <c r="G260" t="inlineStr">
        <is>
          <t>TORSÅS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11575-2026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46216</v>
      </c>
      <c r="F261" t="inlineStr">
        <is>
          <t>KALMAR LÄN</t>
        </is>
      </c>
      <c r="G261" t="inlineStr">
        <is>
          <t>TORSÅS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44965</v>
      </c>
      <c r="E262" s="1" t="n">
        <v>46216</v>
      </c>
      <c r="F262" t="inlineStr">
        <is>
          <t>KALMAR LÄN</t>
        </is>
      </c>
      <c r="G262" t="inlineStr">
        <is>
          <t>TORSÅS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33602-2023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45132</v>
      </c>
      <c r="E263" s="1" t="n">
        <v>46216</v>
      </c>
      <c r="F263" t="inlineStr">
        <is>
          <t>KALMAR LÄN</t>
        </is>
      </c>
      <c r="G263" t="inlineStr">
        <is>
          <t>TORSÅS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45329</v>
      </c>
      <c r="E264" s="1" t="n">
        <v>46216</v>
      </c>
      <c r="F264" t="inlineStr">
        <is>
          <t>KALMAR LÄN</t>
        </is>
      </c>
      <c r="G264" t="inlineStr">
        <is>
          <t>TORSÅS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12484-2026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46216</v>
      </c>
      <c r="F265" t="inlineStr">
        <is>
          <t>KALMAR LÄN</t>
        </is>
      </c>
      <c r="G265" t="inlineStr">
        <is>
          <t>TORSÅS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12415-2026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46216</v>
      </c>
      <c r="F266" t="inlineStr">
        <is>
          <t>KALMAR LÄN</t>
        </is>
      </c>
      <c r="G266" t="inlineStr">
        <is>
          <t>TORSÅS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12423-2026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46216</v>
      </c>
      <c r="F267" t="inlineStr">
        <is>
          <t>KALMAR LÄN</t>
        </is>
      </c>
      <c r="G267" t="inlineStr">
        <is>
          <t>TORSÅS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12419-2026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46216</v>
      </c>
      <c r="F268" t="inlineStr">
        <is>
          <t>KALMAR LÄN</t>
        </is>
      </c>
      <c r="G268" t="inlineStr">
        <is>
          <t>TORSÅS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34432-2023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46216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12944-2026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46216</v>
      </c>
      <c r="F270" t="inlineStr">
        <is>
          <t>KALMAR LÄN</t>
        </is>
      </c>
      <c r="G270" t="inlineStr">
        <is>
          <t>TORSÅS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10704-2024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46216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12951-2023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46216</v>
      </c>
      <c r="F272" t="inlineStr">
        <is>
          <t>KALMAR LÄN</t>
        </is>
      </c>
      <c r="G272" t="inlineStr">
        <is>
          <t>TORSÅS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12954-2023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45001</v>
      </c>
      <c r="E273" s="1" t="n">
        <v>46216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56311-2024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45624</v>
      </c>
      <c r="E274" s="1" t="n">
        <v>46216</v>
      </c>
      <c r="F274" t="inlineStr">
        <is>
          <t>KALMAR LÄN</t>
        </is>
      </c>
      <c r="G274" t="inlineStr">
        <is>
          <t>TORSÅS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12939-2026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46216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40569-2021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44420</v>
      </c>
      <c r="E276" s="1" t="n">
        <v>46216</v>
      </c>
      <c r="F276" t="inlineStr">
        <is>
          <t>KALMAR LÄN</t>
        </is>
      </c>
      <c r="G276" t="inlineStr">
        <is>
          <t>TORSÅS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19943-2023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45054</v>
      </c>
      <c r="E277" s="1" t="n">
        <v>46216</v>
      </c>
      <c r="F277" t="inlineStr">
        <is>
          <t>KALMAR LÄN</t>
        </is>
      </c>
      <c r="G277" t="inlineStr">
        <is>
          <t>TORSÅS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44839-2022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44841</v>
      </c>
      <c r="E278" s="1" t="n">
        <v>46216</v>
      </c>
      <c r="F278" t="inlineStr">
        <is>
          <t>KALMAR LÄN</t>
        </is>
      </c>
      <c r="G278" t="inlineStr">
        <is>
          <t>TORSÅS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15485-2026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46216</v>
      </c>
      <c r="F279" t="inlineStr">
        <is>
          <t>KALMAR LÄN</t>
        </is>
      </c>
      <c r="G279" t="inlineStr">
        <is>
          <t>TORSÅS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45555-2023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46216</v>
      </c>
      <c r="F280" t="inlineStr">
        <is>
          <t>KALMAR LÄN</t>
        </is>
      </c>
      <c r="G280" t="inlineStr">
        <is>
          <t>TORSÅS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15421-2026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46216</v>
      </c>
      <c r="F281" t="inlineStr">
        <is>
          <t>KALMAR LÄN</t>
        </is>
      </c>
      <c r="G281" t="inlineStr">
        <is>
          <t>TORSÅS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60055-2021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44495</v>
      </c>
      <c r="E282" s="1" t="n">
        <v>46216</v>
      </c>
      <c r="F282" t="inlineStr">
        <is>
          <t>KALMAR LÄN</t>
        </is>
      </c>
      <c r="G282" t="inlineStr">
        <is>
          <t>TORSÅS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9793-2025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45716</v>
      </c>
      <c r="E283" s="1" t="n">
        <v>46216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48526-2023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46216</v>
      </c>
      <c r="F284" t="inlineStr">
        <is>
          <t>KALMAR LÄN</t>
        </is>
      </c>
      <c r="G284" t="inlineStr">
        <is>
          <t>TORSÅS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48543-2023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45208</v>
      </c>
      <c r="E285" s="1" t="n">
        <v>46216</v>
      </c>
      <c r="F285" t="inlineStr">
        <is>
          <t>KALMAR LÄN</t>
        </is>
      </c>
      <c r="G285" t="inlineStr">
        <is>
          <t>TORSÅS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18045-2023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45040</v>
      </c>
      <c r="E286" s="1" t="n">
        <v>46216</v>
      </c>
      <c r="F286" t="inlineStr">
        <is>
          <t>KALMAR LÄN</t>
        </is>
      </c>
      <c r="G286" t="inlineStr">
        <is>
          <t>TORSÅS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65155-2023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46216</v>
      </c>
      <c r="F287" t="inlineStr">
        <is>
          <t>KALMAR LÄN</t>
        </is>
      </c>
      <c r="G287" t="inlineStr">
        <is>
          <t>TORSÅS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16841-2026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46216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16834-2026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46216</v>
      </c>
      <c r="F289" t="inlineStr">
        <is>
          <t>KALMAR LÄN</t>
        </is>
      </c>
      <c r="G289" t="inlineStr">
        <is>
          <t>TORSÅS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42912-2023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46216</v>
      </c>
      <c r="F290" t="inlineStr">
        <is>
          <t>KALMAR LÄN</t>
        </is>
      </c>
      <c r="G290" t="inlineStr">
        <is>
          <t>TORSÅS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17427-2026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46216</v>
      </c>
      <c r="F291" t="inlineStr">
        <is>
          <t>KALMAR LÄN</t>
        </is>
      </c>
      <c r="G291" t="inlineStr">
        <is>
          <t>TORSÅS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10351-2025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46216</v>
      </c>
      <c r="F292" t="inlineStr">
        <is>
          <t>KALMAR LÄN</t>
        </is>
      </c>
      <c r="G292" t="inlineStr">
        <is>
          <t>TORSÅS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20714-2023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46216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17223-2026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46216</v>
      </c>
      <c r="F294" t="inlineStr">
        <is>
          <t>KALMAR LÄN</t>
        </is>
      </c>
      <c r="G294" t="inlineStr">
        <is>
          <t>TORSÅS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15749-2024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45404</v>
      </c>
      <c r="E295" s="1" t="n">
        <v>46216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51771-2023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46216</v>
      </c>
      <c r="F296" t="inlineStr">
        <is>
          <t>KALMAR LÄN</t>
        </is>
      </c>
      <c r="G296" t="inlineStr">
        <is>
          <t>TORSÅS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19714-2022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44694</v>
      </c>
      <c r="E297" s="1" t="n">
        <v>46216</v>
      </c>
      <c r="F297" t="inlineStr">
        <is>
          <t>KALMAR LÄN</t>
        </is>
      </c>
      <c r="G297" t="inlineStr">
        <is>
          <t>TORSÅS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46216</v>
      </c>
      <c r="F298" t="inlineStr">
        <is>
          <t>KALMAR LÄN</t>
        </is>
      </c>
      <c r="G298" t="inlineStr">
        <is>
          <t>TORSÅS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35116-2023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46216</v>
      </c>
      <c r="F299" t="inlineStr">
        <is>
          <t>KALMAR LÄN</t>
        </is>
      </c>
      <c r="G299" t="inlineStr">
        <is>
          <t>TORSÅS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44988</v>
      </c>
      <c r="E300" s="1" t="n">
        <v>46216</v>
      </c>
      <c r="F300" t="inlineStr">
        <is>
          <t>KALMAR LÄN</t>
        </is>
      </c>
      <c r="G300" t="inlineStr">
        <is>
          <t>TORSÅS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41566-2022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46216</v>
      </c>
      <c r="F301" t="inlineStr">
        <is>
          <t>KALMAR LÄN</t>
        </is>
      </c>
      <c r="G301" t="inlineStr">
        <is>
          <t>TORSÅS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58442-2023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46216</v>
      </c>
      <c r="F302" t="inlineStr">
        <is>
          <t>KALMAR LÄN</t>
        </is>
      </c>
      <c r="G302" t="inlineStr">
        <is>
          <t>TORSÅS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58443-2023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46216</v>
      </c>
      <c r="F303" t="inlineStr">
        <is>
          <t>KALMAR LÄN</t>
        </is>
      </c>
      <c r="G303" t="inlineStr">
        <is>
          <t>TORSÅS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46216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46216</v>
      </c>
      <c r="F305" t="inlineStr">
        <is>
          <t>KALMAR LÄN</t>
        </is>
      </c>
      <c r="G305" t="inlineStr">
        <is>
          <t>TORSÅS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25072-2026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46174</v>
      </c>
      <c r="E306" s="1" t="n">
        <v>46216</v>
      </c>
      <c r="F306" t="inlineStr">
        <is>
          <t>KALMAR LÄN</t>
        </is>
      </c>
      <c r="G306" t="inlineStr">
        <is>
          <t>TORSÅS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25075-2026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46216</v>
      </c>
      <c r="F307" t="inlineStr">
        <is>
          <t>KALMAR LÄN</t>
        </is>
      </c>
      <c r="G307" t="inlineStr">
        <is>
          <t>TORSÅS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46216</v>
      </c>
      <c r="F308" t="inlineStr">
        <is>
          <t>KALMAR LÄN</t>
        </is>
      </c>
      <c r="G308" t="inlineStr">
        <is>
          <t>TORSÅS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54741-2022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44883</v>
      </c>
      <c r="E309" s="1" t="n">
        <v>46216</v>
      </c>
      <c r="F309" t="inlineStr">
        <is>
          <t>KALMAR LÄN</t>
        </is>
      </c>
      <c r="G309" t="inlineStr">
        <is>
          <t>TORSÅS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18437-2024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46216</v>
      </c>
      <c r="F310" t="inlineStr">
        <is>
          <t>KALMAR LÄN</t>
        </is>
      </c>
      <c r="G310" t="inlineStr">
        <is>
          <t>TORSÅS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3376-2023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44949</v>
      </c>
      <c r="E311" s="1" t="n">
        <v>46216</v>
      </c>
      <c r="F311" t="inlineStr">
        <is>
          <t>KALMAR LÄN</t>
        </is>
      </c>
      <c r="G311" t="inlineStr">
        <is>
          <t>TORSÅS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11162-2023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46216</v>
      </c>
      <c r="F312" t="inlineStr">
        <is>
          <t>KALMAR LÄN</t>
        </is>
      </c>
      <c r="G312" t="inlineStr">
        <is>
          <t>TORSÅS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37168-2023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46216</v>
      </c>
      <c r="F313" t="inlineStr">
        <is>
          <t>KALMAR LÄN</t>
        </is>
      </c>
      <c r="G313" t="inlineStr">
        <is>
          <t>TORSÅS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47004-2023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46216</v>
      </c>
      <c r="F314" t="inlineStr">
        <is>
          <t>KALMAR LÄN</t>
        </is>
      </c>
      <c r="G314" t="inlineStr">
        <is>
          <t>TORSÅS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21305-2024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45440</v>
      </c>
      <c r="E315" s="1" t="n">
        <v>46216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55675-2021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44476</v>
      </c>
      <c r="E316" s="1" t="n">
        <v>46216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13025-2026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46216</v>
      </c>
      <c r="F317" t="inlineStr">
        <is>
          <t>KALMAR LÄN</t>
        </is>
      </c>
      <c r="G317" t="inlineStr">
        <is>
          <t>TORSÅS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46216</v>
      </c>
      <c r="F318" t="inlineStr">
        <is>
          <t>KALMAR LÄN</t>
        </is>
      </c>
      <c r="G318" t="inlineStr">
        <is>
          <t>TORSÅS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13022-2026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46216</v>
      </c>
      <c r="F319" t="inlineStr">
        <is>
          <t>KALMAR LÄN</t>
        </is>
      </c>
      <c r="G319" t="inlineStr">
        <is>
          <t>TORSÅS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46216</v>
      </c>
      <c r="F320" t="inlineStr">
        <is>
          <t>KALMAR LÄN</t>
        </is>
      </c>
      <c r="G320" t="inlineStr">
        <is>
          <t>TORSÅS</t>
        </is>
      </c>
      <c r="H320" t="inlineStr">
        <is>
          <t>Övriga Aktiebolag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32573-2025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46216</v>
      </c>
      <c r="F321" t="inlineStr">
        <is>
          <t>KALMAR LÄN</t>
        </is>
      </c>
      <c r="G321" t="inlineStr">
        <is>
          <t>TORSÅS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38955-2021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44411</v>
      </c>
      <c r="E322" s="1" t="n">
        <v>46216</v>
      </c>
      <c r="F322" t="inlineStr">
        <is>
          <t>KALMAR LÄN</t>
        </is>
      </c>
      <c r="G322" t="inlineStr">
        <is>
          <t>TORSÅS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13024-2026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46216</v>
      </c>
      <c r="F323" t="inlineStr">
        <is>
          <t>KALMAR LÄN</t>
        </is>
      </c>
      <c r="G323" t="inlineStr">
        <is>
          <t>TORSÅS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56522-2022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44893</v>
      </c>
      <c r="E324" s="1" t="n">
        <v>46216</v>
      </c>
      <c r="F324" t="inlineStr">
        <is>
          <t>KALMAR LÄN</t>
        </is>
      </c>
      <c r="G324" t="inlineStr">
        <is>
          <t>TORSÅS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41452-2022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44826</v>
      </c>
      <c r="E325" s="1" t="n">
        <v>46216</v>
      </c>
      <c r="F325" t="inlineStr">
        <is>
          <t>KALMAR LÄN</t>
        </is>
      </c>
      <c r="G325" t="inlineStr">
        <is>
          <t>TORSÅS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32600-2025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46216</v>
      </c>
      <c r="F326" t="inlineStr">
        <is>
          <t>KALMAR LÄN</t>
        </is>
      </c>
      <c r="G326" t="inlineStr">
        <is>
          <t>TORSÅS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24148-2022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44725</v>
      </c>
      <c r="E327" s="1" t="n">
        <v>46216</v>
      </c>
      <c r="F327" t="inlineStr">
        <is>
          <t>KALMAR LÄN</t>
        </is>
      </c>
      <c r="G327" t="inlineStr">
        <is>
          <t>TORSÅS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46216</v>
      </c>
      <c r="F328" t="inlineStr">
        <is>
          <t>KALMAR LÄN</t>
        </is>
      </c>
      <c r="G328" t="inlineStr">
        <is>
          <t>TORSÅS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16409-2023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46216</v>
      </c>
      <c r="F329" t="inlineStr">
        <is>
          <t>KALMAR LÄN</t>
        </is>
      </c>
      <c r="G329" t="inlineStr">
        <is>
          <t>TORSÅS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27268-2023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46216</v>
      </c>
      <c r="F330" t="inlineStr">
        <is>
          <t>KALMAR LÄN</t>
        </is>
      </c>
      <c r="G330" t="inlineStr">
        <is>
          <t>TORSÅS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13023-2026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46216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13027-2026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46216</v>
      </c>
      <c r="F332" t="inlineStr">
        <is>
          <t>KALMAR LÄN</t>
        </is>
      </c>
      <c r="G332" t="inlineStr">
        <is>
          <t>TORSÅS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68493-2021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44529</v>
      </c>
      <c r="E333" s="1" t="n">
        <v>46216</v>
      </c>
      <c r="F333" t="inlineStr">
        <is>
          <t>KALMAR LÄN</t>
        </is>
      </c>
      <c r="G333" t="inlineStr">
        <is>
          <t>TORSÅS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46216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30867-2023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46216</v>
      </c>
      <c r="F335" t="inlineStr">
        <is>
          <t>KALMAR LÄN</t>
        </is>
      </c>
      <c r="G335" t="inlineStr">
        <is>
          <t>TORSÅS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30874-2023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46216</v>
      </c>
      <c r="F336" t="inlineStr">
        <is>
          <t>KALMAR LÄN</t>
        </is>
      </c>
      <c r="G336" t="inlineStr">
        <is>
          <t>TORSÅS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38454-2024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46216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13021-2026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46216</v>
      </c>
      <c r="F338" t="inlineStr">
        <is>
          <t>KALMAR LÄN</t>
        </is>
      </c>
      <c r="G338" t="inlineStr">
        <is>
          <t>TORSÅS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26696-2023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46216</v>
      </c>
      <c r="F339" t="inlineStr">
        <is>
          <t>KALMAR LÄN</t>
        </is>
      </c>
      <c r="G339" t="inlineStr">
        <is>
          <t>TORSÅS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26707-2023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46216</v>
      </c>
      <c r="F340" t="inlineStr">
        <is>
          <t>KALMAR LÄN</t>
        </is>
      </c>
      <c r="G340" t="inlineStr">
        <is>
          <t>TORSÅS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8618-2026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46066</v>
      </c>
      <c r="E341" s="1" t="n">
        <v>46216</v>
      </c>
      <c r="F341" t="inlineStr">
        <is>
          <t>KALMAR LÄN</t>
        </is>
      </c>
      <c r="G341" t="inlineStr">
        <is>
          <t>TORSÅS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23974-2026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46216</v>
      </c>
      <c r="F342" t="inlineStr">
        <is>
          <t>KALMAR LÄN</t>
        </is>
      </c>
      <c r="G342" t="inlineStr">
        <is>
          <t>TORSÅS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53976-2022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44881</v>
      </c>
      <c r="E343" s="1" t="n">
        <v>46216</v>
      </c>
      <c r="F343" t="inlineStr">
        <is>
          <t>KALMAR LÄN</t>
        </is>
      </c>
      <c r="G343" t="inlineStr">
        <is>
          <t>TORSÅS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45328</v>
      </c>
      <c r="E344" s="1" t="n">
        <v>46216</v>
      </c>
      <c r="F344" t="inlineStr">
        <is>
          <t>KALMAR LÄN</t>
        </is>
      </c>
      <c r="G344" t="inlineStr">
        <is>
          <t>TORSÅS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52659-2024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46216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12958-2023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45001</v>
      </c>
      <c r="E346" s="1" t="n">
        <v>46216</v>
      </c>
      <c r="F346" t="inlineStr">
        <is>
          <t>KALMAR LÄN</t>
        </is>
      </c>
      <c r="G346" t="inlineStr">
        <is>
          <t>TORSÅS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46216</v>
      </c>
      <c r="F347" t="inlineStr">
        <is>
          <t>KALMAR LÄN</t>
        </is>
      </c>
      <c r="G347" t="inlineStr">
        <is>
          <t>TORSÅS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38114-2023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46216</v>
      </c>
      <c r="F348" t="inlineStr">
        <is>
          <t>KALMAR LÄN</t>
        </is>
      </c>
      <c r="G348" t="inlineStr">
        <is>
          <t>TORSÅS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24666-2023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45084</v>
      </c>
      <c r="E349" s="1" t="n">
        <v>46216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30869-2023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46216</v>
      </c>
      <c r="F350" t="inlineStr">
        <is>
          <t>KALMAR LÄN</t>
        </is>
      </c>
      <c r="G350" t="inlineStr">
        <is>
          <t>TORSÅS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29999-2025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45826</v>
      </c>
      <c r="E351" s="1" t="n">
        <v>46216</v>
      </c>
      <c r="F351" t="inlineStr">
        <is>
          <t>KALMAR LÄN</t>
        </is>
      </c>
      <c r="G351" t="inlineStr">
        <is>
          <t>TORSÅS</t>
        </is>
      </c>
      <c r="I351" t="n">
        <v>15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53571-2021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44468</v>
      </c>
      <c r="E352" s="1" t="n">
        <v>46216</v>
      </c>
      <c r="F352" t="inlineStr">
        <is>
          <t>KALMAR LÄN</t>
        </is>
      </c>
      <c r="G352" t="inlineStr">
        <is>
          <t>TORSÅS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45672</v>
      </c>
      <c r="E353" s="1" t="n">
        <v>46216</v>
      </c>
      <c r="F353" t="inlineStr">
        <is>
          <t>KALMAR LÄN</t>
        </is>
      </c>
      <c r="G353" t="inlineStr">
        <is>
          <t>TORSÅS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46216</v>
      </c>
      <c r="F354" t="inlineStr">
        <is>
          <t>KALMAR LÄN</t>
        </is>
      </c>
      <c r="G354" t="inlineStr">
        <is>
          <t>TORSÅS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58274-2023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46216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58441-2023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46216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56366-2023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46216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47312-2025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46216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26491-2022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46216</v>
      </c>
      <c r="F359" t="inlineStr">
        <is>
          <t>KALMAR LÄN</t>
        </is>
      </c>
      <c r="G359" t="inlineStr">
        <is>
          <t>TORSÅS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45113</v>
      </c>
      <c r="E360" s="1" t="n">
        <v>46216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45113</v>
      </c>
      <c r="E361" s="1" t="n">
        <v>46216</v>
      </c>
      <c r="F361" t="inlineStr">
        <is>
          <t>KALMAR LÄN</t>
        </is>
      </c>
      <c r="G361" t="inlineStr">
        <is>
          <t>TORSÅS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23776-2022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44722</v>
      </c>
      <c r="E362" s="1" t="n">
        <v>46216</v>
      </c>
      <c r="F362" t="inlineStr">
        <is>
          <t>KALMAR LÄN</t>
        </is>
      </c>
      <c r="G362" t="inlineStr">
        <is>
          <t>TORSÅS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50208-2021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44457</v>
      </c>
      <c r="E363" s="1" t="n">
        <v>46216</v>
      </c>
      <c r="F363" t="inlineStr">
        <is>
          <t>KALMAR LÄN</t>
        </is>
      </c>
      <c r="G363" t="inlineStr">
        <is>
          <t>TORSÅS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8426-2023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46216</v>
      </c>
      <c r="F364" t="inlineStr">
        <is>
          <t>KALMAR LÄN</t>
        </is>
      </c>
      <c r="G364" t="inlineStr">
        <is>
          <t>TORSÅS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33939-2022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44790</v>
      </c>
      <c r="E365" s="1" t="n">
        <v>46216</v>
      </c>
      <c r="F365" t="inlineStr">
        <is>
          <t>KALMAR LÄN</t>
        </is>
      </c>
      <c r="G365" t="inlineStr">
        <is>
          <t>TORSÅS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53337-2024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45614</v>
      </c>
      <c r="E366" s="1" t="n">
        <v>46216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23963-2026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46216</v>
      </c>
      <c r="F367" t="inlineStr">
        <is>
          <t>KALMAR LÄN</t>
        </is>
      </c>
      <c r="G367" t="inlineStr">
        <is>
          <t>TORSÅS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46216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10062-2023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44985</v>
      </c>
      <c r="E369" s="1" t="n">
        <v>46216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26711-2023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46216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26714-2023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46216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18694-2024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45426</v>
      </c>
      <c r="E372" s="1" t="n">
        <v>46216</v>
      </c>
      <c r="F372" t="inlineStr">
        <is>
          <t>KALMAR LÄN</t>
        </is>
      </c>
      <c r="G372" t="inlineStr">
        <is>
          <t>TORSÅS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44949</v>
      </c>
      <c r="E373" s="1" t="n">
        <v>46216</v>
      </c>
      <c r="F373" t="inlineStr">
        <is>
          <t>KALMAR LÄN</t>
        </is>
      </c>
      <c r="G373" t="inlineStr">
        <is>
          <t>TORSÅS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39728-2024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45552</v>
      </c>
      <c r="E374" s="1" t="n">
        <v>46216</v>
      </c>
      <c r="F374" t="inlineStr">
        <is>
          <t>KALMAR LÄN</t>
        </is>
      </c>
      <c r="G374" t="inlineStr">
        <is>
          <t>TORSÅS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44950</v>
      </c>
      <c r="E375" s="1" t="n">
        <v>46216</v>
      </c>
      <c r="F375" t="inlineStr">
        <is>
          <t>KALMAR LÄN</t>
        </is>
      </c>
      <c r="G375" t="inlineStr">
        <is>
          <t>TORSÅS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33144-2024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45518</v>
      </c>
      <c r="E376" s="1" t="n">
        <v>46216</v>
      </c>
      <c r="F376" t="inlineStr">
        <is>
          <t>KALMAR LÄN</t>
        </is>
      </c>
      <c r="G376" t="inlineStr">
        <is>
          <t>TORSÅS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13930-2023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45008</v>
      </c>
      <c r="E377" s="1" t="n">
        <v>46216</v>
      </c>
      <c r="F377" t="inlineStr">
        <is>
          <t>KALMAR LÄN</t>
        </is>
      </c>
      <c r="G377" t="inlineStr">
        <is>
          <t>TORSÅS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42172-2023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45178</v>
      </c>
      <c r="E378" s="1" t="n">
        <v>46216</v>
      </c>
      <c r="F378" t="inlineStr">
        <is>
          <t>KALMAR LÄN</t>
        </is>
      </c>
      <c r="G378" t="inlineStr">
        <is>
          <t>TORSÅS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12240-2022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46216</v>
      </c>
      <c r="F379" t="inlineStr">
        <is>
          <t>KALMAR LÄN</t>
        </is>
      </c>
      <c r="G379" t="inlineStr">
        <is>
          <t>TORSÅS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58038-2022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44900</v>
      </c>
      <c r="E380" s="1" t="n">
        <v>46216</v>
      </c>
      <c r="F380" t="inlineStr">
        <is>
          <t>KALMAR LÄN</t>
        </is>
      </c>
      <c r="G380" t="inlineStr">
        <is>
          <t>TORSÅS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46216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46751-2022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46216</v>
      </c>
      <c r="F382" t="inlineStr">
        <is>
          <t>KALMAR LÄN</t>
        </is>
      </c>
      <c r="G382" t="inlineStr">
        <is>
          <t>TORSÅS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66543-2021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44519</v>
      </c>
      <c r="E383" s="1" t="n">
        <v>46216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42910-2025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46216</v>
      </c>
      <c r="F384" t="inlineStr">
        <is>
          <t>KALMAR LÄN</t>
        </is>
      </c>
      <c r="G384" t="inlineStr">
        <is>
          <t>TORSÅS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64348-2021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44511</v>
      </c>
      <c r="E385" s="1" t="n">
        <v>46216</v>
      </c>
      <c r="F385" t="inlineStr">
        <is>
          <t>KALMAR LÄN</t>
        </is>
      </c>
      <c r="G385" t="inlineStr">
        <is>
          <t>TORSÅS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50675-2024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45601</v>
      </c>
      <c r="E386" s="1" t="n">
        <v>46216</v>
      </c>
      <c r="F386" t="inlineStr">
        <is>
          <t>KALMAR LÄN</t>
        </is>
      </c>
      <c r="G386" t="inlineStr">
        <is>
          <t>TORSÅS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12591-2022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44640</v>
      </c>
      <c r="E387" s="1" t="n">
        <v>46216</v>
      </c>
      <c r="F387" t="inlineStr">
        <is>
          <t>KALMAR LÄN</t>
        </is>
      </c>
      <c r="G387" t="inlineStr">
        <is>
          <t>TORSÅS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24471-2023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45082</v>
      </c>
      <c r="E388" s="1" t="n">
        <v>46216</v>
      </c>
      <c r="F388" t="inlineStr">
        <is>
          <t>KALMAR LÄN</t>
        </is>
      </c>
      <c r="G388" t="inlineStr">
        <is>
          <t>TORSÅS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18718-2024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45426</v>
      </c>
      <c r="E389" s="1" t="n">
        <v>46216</v>
      </c>
      <c r="F389" t="inlineStr">
        <is>
          <t>KALMAR LÄN</t>
        </is>
      </c>
      <c r="G389" t="inlineStr">
        <is>
          <t>TORSÅS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14362-2023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46216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46626-2024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46216</v>
      </c>
      <c r="F391" t="inlineStr">
        <is>
          <t>KALMAR LÄN</t>
        </is>
      </c>
      <c r="G391" t="inlineStr">
        <is>
          <t>TORSÅS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9810-2025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45716</v>
      </c>
      <c r="E392" s="1" t="n">
        <v>46216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51263-2023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45219</v>
      </c>
      <c r="E393" s="1" t="n">
        <v>46216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52598-2023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46216</v>
      </c>
      <c r="F394" t="inlineStr">
        <is>
          <t>KALMAR LÄN</t>
        </is>
      </c>
      <c r="G394" t="inlineStr">
        <is>
          <t>TORSÅS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52072-2023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45223</v>
      </c>
      <c r="E395" s="1" t="n">
        <v>46216</v>
      </c>
      <c r="F395" t="inlineStr">
        <is>
          <t>KALMAR LÄN</t>
        </is>
      </c>
      <c r="G395" t="inlineStr">
        <is>
          <t>TORSÅS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64373-2023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45280</v>
      </c>
      <c r="E396" s="1" t="n">
        <v>46216</v>
      </c>
      <c r="F396" t="inlineStr">
        <is>
          <t>KALMAR LÄN</t>
        </is>
      </c>
      <c r="G396" t="inlineStr">
        <is>
          <t>TORSÅS</t>
        </is>
      </c>
      <c r="I396" t="n">
        <v>19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32525-2024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45513</v>
      </c>
      <c r="E397" s="1" t="n">
        <v>46216</v>
      </c>
      <c r="F397" t="inlineStr">
        <is>
          <t>KALMAR LÄN</t>
        </is>
      </c>
      <c r="G397" t="inlineStr">
        <is>
          <t>TORSÅS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32532-2024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45513</v>
      </c>
      <c r="E398" s="1" t="n">
        <v>46216</v>
      </c>
      <c r="F398" t="inlineStr">
        <is>
          <t>KALMAR LÄN</t>
        </is>
      </c>
      <c r="G398" t="inlineStr">
        <is>
          <t>TORSÅS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56613-2023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46216</v>
      </c>
      <c r="F399" t="inlineStr">
        <is>
          <t>KALMAR LÄN</t>
        </is>
      </c>
      <c r="G399" t="inlineStr">
        <is>
          <t>TORSÅS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10926-2024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45370</v>
      </c>
      <c r="E400" s="1" t="n">
        <v>46216</v>
      </c>
      <c r="F400" t="inlineStr">
        <is>
          <t>KALMAR LÄN</t>
        </is>
      </c>
      <c r="G400" t="inlineStr">
        <is>
          <t>TORSÅS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23035-2026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46216</v>
      </c>
      <c r="F401" t="inlineStr">
        <is>
          <t>KALMAR LÄN</t>
        </is>
      </c>
      <c r="G401" t="inlineStr">
        <is>
          <t>TORSÅS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58917-2024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45636</v>
      </c>
      <c r="E402" s="1" t="n">
        <v>46216</v>
      </c>
      <c r="F402" t="inlineStr">
        <is>
          <t>KALMAR LÄN</t>
        </is>
      </c>
      <c r="G402" t="inlineStr">
        <is>
          <t>TORSÅS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13074-2025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45734</v>
      </c>
      <c r="E403" s="1" t="n">
        <v>46216</v>
      </c>
      <c r="F403" t="inlineStr">
        <is>
          <t>KALMAR LÄN</t>
        </is>
      </c>
      <c r="G403" t="inlineStr">
        <is>
          <t>TORSÅS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46216</v>
      </c>
      <c r="F404" t="inlineStr">
        <is>
          <t>KALMAR LÄN</t>
        </is>
      </c>
      <c r="G404" t="inlineStr">
        <is>
          <t>TORSÅS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42909-2023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46216</v>
      </c>
      <c r="F405" t="inlineStr">
        <is>
          <t>KALMAR LÄN</t>
        </is>
      </c>
      <c r="G405" t="inlineStr">
        <is>
          <t>TORSÅS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46216</v>
      </c>
      <c r="F406" t="inlineStr">
        <is>
          <t>KALMAR LÄN</t>
        </is>
      </c>
      <c r="G406" t="inlineStr">
        <is>
          <t>TORSÅS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45324</v>
      </c>
      <c r="E407" s="1" t="n">
        <v>46216</v>
      </c>
      <c r="F407" t="inlineStr">
        <is>
          <t>KALMAR LÄN</t>
        </is>
      </c>
      <c r="G407" t="inlineStr">
        <is>
          <t>TORSÅS</t>
        </is>
      </c>
      <c r="H407" t="inlineStr">
        <is>
          <t>Övriga Aktiebolag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59017-2023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45252</v>
      </c>
      <c r="E408" s="1" t="n">
        <v>46216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27546-2024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46216</v>
      </c>
      <c r="F409" t="inlineStr">
        <is>
          <t>KALMAR LÄN</t>
        </is>
      </c>
      <c r="G409" t="inlineStr">
        <is>
          <t>TORSÅS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14937-2022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44657</v>
      </c>
      <c r="E410" s="1" t="n">
        <v>46216</v>
      </c>
      <c r="F410" t="inlineStr">
        <is>
          <t>KALMAR LÄN</t>
        </is>
      </c>
      <c r="G410" t="inlineStr">
        <is>
          <t>TORSÅS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45568-2023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46216</v>
      </c>
      <c r="F411" t="inlineStr">
        <is>
          <t>KALMAR LÄN</t>
        </is>
      </c>
      <c r="G411" t="inlineStr">
        <is>
          <t>TORSÅS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42897-2023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46216</v>
      </c>
      <c r="F412" t="inlineStr">
        <is>
          <t>KALMAR LÄN</t>
        </is>
      </c>
      <c r="G412" t="inlineStr">
        <is>
          <t>TORSÅS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16411-2026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46216</v>
      </c>
      <c r="F413" t="inlineStr">
        <is>
          <t>KALMAR LÄN</t>
        </is>
      </c>
      <c r="G413" t="inlineStr">
        <is>
          <t>TORSÅS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9676-2024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45362</v>
      </c>
      <c r="E414" s="1" t="n">
        <v>46216</v>
      </c>
      <c r="F414" t="inlineStr">
        <is>
          <t>KALMAR LÄN</t>
        </is>
      </c>
      <c r="G414" t="inlineStr">
        <is>
          <t>TORSÅS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61260-2024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46216</v>
      </c>
      <c r="F415" t="inlineStr">
        <is>
          <t>KALMAR LÄN</t>
        </is>
      </c>
      <c r="G415" t="inlineStr">
        <is>
          <t>TORSÅS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62101-2021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44502</v>
      </c>
      <c r="E416" s="1" t="n">
        <v>46216</v>
      </c>
      <c r="F416" t="inlineStr">
        <is>
          <t>KALMAR LÄN</t>
        </is>
      </c>
      <c r="G416" t="inlineStr">
        <is>
          <t>TORSÅS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16152-2023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45027</v>
      </c>
      <c r="E417" s="1" t="n">
        <v>46216</v>
      </c>
      <c r="F417" t="inlineStr">
        <is>
          <t>KALMAR LÄN</t>
        </is>
      </c>
      <c r="G417" t="inlineStr">
        <is>
          <t>TORSÅS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4016-2024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46216</v>
      </c>
      <c r="F418" t="inlineStr">
        <is>
          <t>KALMAR LÄN</t>
        </is>
      </c>
      <c r="G418" t="inlineStr">
        <is>
          <t>TORSÅS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16409-2026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46216</v>
      </c>
      <c r="F419" t="inlineStr">
        <is>
          <t>KALMAR LÄN</t>
        </is>
      </c>
      <c r="G419" t="inlineStr">
        <is>
          <t>TORSÅS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26700-2023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46216</v>
      </c>
      <c r="F420" t="inlineStr">
        <is>
          <t>KALMAR LÄN</t>
        </is>
      </c>
      <c r="G420" t="inlineStr">
        <is>
          <t>TORSÅS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24308-2026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46216</v>
      </c>
      <c r="F421" t="inlineStr">
        <is>
          <t>KALMAR LÄN</t>
        </is>
      </c>
      <c r="G421" t="inlineStr">
        <is>
          <t>TORSÅS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59275-2023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46216</v>
      </c>
      <c r="F422" t="inlineStr">
        <is>
          <t>KALMAR LÄN</t>
        </is>
      </c>
      <c r="G422" t="inlineStr">
        <is>
          <t>TORSÅS</t>
        </is>
      </c>
      <c r="I422" t="n">
        <v>12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24661-2025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46216</v>
      </c>
      <c r="F423" t="inlineStr">
        <is>
          <t>KALMAR LÄN</t>
        </is>
      </c>
      <c r="G423" t="inlineStr">
        <is>
          <t>TORSÅS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24309-2026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46169</v>
      </c>
      <c r="E424" s="1" t="n">
        <v>46216</v>
      </c>
      <c r="F424" t="inlineStr">
        <is>
          <t>KALMAR LÄN</t>
        </is>
      </c>
      <c r="G424" t="inlineStr">
        <is>
          <t>TORSÅS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8405-2024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45352</v>
      </c>
      <c r="E425" s="1" t="n">
        <v>46216</v>
      </c>
      <c r="F425" t="inlineStr">
        <is>
          <t>KALMAR LÄN</t>
        </is>
      </c>
      <c r="G425" t="inlineStr">
        <is>
          <t>TORSÅS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24509-2026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46216</v>
      </c>
      <c r="F426" t="inlineStr">
        <is>
          <t>KALMAR LÄN</t>
        </is>
      </c>
      <c r="G426" t="inlineStr">
        <is>
          <t>TORSÅS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46572-2023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45198</v>
      </c>
      <c r="E427" s="1" t="n">
        <v>46216</v>
      </c>
      <c r="F427" t="inlineStr">
        <is>
          <t>KALMAR LÄN</t>
        </is>
      </c>
      <c r="G427" t="inlineStr">
        <is>
          <t>TORSÅS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40046-2023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46216</v>
      </c>
      <c r="F428" t="inlineStr">
        <is>
          <t>KALMAR LÄN</t>
        </is>
      </c>
      <c r="G428" t="inlineStr">
        <is>
          <t>TORSÅS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40047-2023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46216</v>
      </c>
      <c r="F429" t="inlineStr">
        <is>
          <t>KALMAR LÄN</t>
        </is>
      </c>
      <c r="G429" t="inlineStr">
        <is>
          <t>TORSÅS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10260-2023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44986</v>
      </c>
      <c r="E430" s="1" t="n">
        <v>46216</v>
      </c>
      <c r="F430" t="inlineStr">
        <is>
          <t>KALMAR LÄN</t>
        </is>
      </c>
      <c r="G430" t="inlineStr">
        <is>
          <t>TORSÅS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9124-2025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46216</v>
      </c>
      <c r="F431" t="inlineStr">
        <is>
          <t>KALMAR LÄN</t>
        </is>
      </c>
      <c r="G431" t="inlineStr">
        <is>
          <t>TORSÅS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45299</v>
      </c>
      <c r="E432" s="1" t="n">
        <v>46216</v>
      </c>
      <c r="F432" t="inlineStr">
        <is>
          <t>KALMAR LÄN</t>
        </is>
      </c>
      <c r="G432" t="inlineStr">
        <is>
          <t>TORSÅS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27507-2024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46216</v>
      </c>
      <c r="F433" t="inlineStr">
        <is>
          <t>KALMAR LÄN</t>
        </is>
      </c>
      <c r="G433" t="inlineStr">
        <is>
          <t>TORSÅS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5771-2025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45694</v>
      </c>
      <c r="E434" s="1" t="n">
        <v>46216</v>
      </c>
      <c r="F434" t="inlineStr">
        <is>
          <t>KALMAR LÄN</t>
        </is>
      </c>
      <c r="G434" t="inlineStr">
        <is>
          <t>TORSÅS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45665</v>
      </c>
      <c r="E435" s="1" t="n">
        <v>46216</v>
      </c>
      <c r="F435" t="inlineStr">
        <is>
          <t>KALMAR LÄN</t>
        </is>
      </c>
      <c r="G435" t="inlineStr">
        <is>
          <t>TORSÅS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45785</v>
      </c>
      <c r="E436" s="1" t="n">
        <v>46216</v>
      </c>
      <c r="F436" t="inlineStr">
        <is>
          <t>KALMAR LÄN</t>
        </is>
      </c>
      <c r="G436" t="inlineStr">
        <is>
          <t>TORSÅS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61105-2024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45645</v>
      </c>
      <c r="E437" s="1" t="n">
        <v>46216</v>
      </c>
      <c r="F437" t="inlineStr">
        <is>
          <t>KALMAR LÄN</t>
        </is>
      </c>
      <c r="G437" t="inlineStr">
        <is>
          <t>TORSÅS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14366-2023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45012</v>
      </c>
      <c r="E438" s="1" t="n">
        <v>46216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5107-2024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45330</v>
      </c>
      <c r="E439" s="1" t="n">
        <v>46216</v>
      </c>
      <c r="F439" t="inlineStr">
        <is>
          <t>KALMAR LÄN</t>
        </is>
      </c>
      <c r="G439" t="inlineStr">
        <is>
          <t>TORSÅS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27504-2024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45474</v>
      </c>
      <c r="E440" s="1" t="n">
        <v>46216</v>
      </c>
      <c r="F440" t="inlineStr">
        <is>
          <t>KALMAR LÄN</t>
        </is>
      </c>
      <c r="G440" t="inlineStr">
        <is>
          <t>TORSÅS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17523-2022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44679</v>
      </c>
      <c r="E441" s="1" t="n">
        <v>46216</v>
      </c>
      <c r="F441" t="inlineStr">
        <is>
          <t>KALMAR LÄN</t>
        </is>
      </c>
      <c r="G441" t="inlineStr">
        <is>
          <t>TORSÅS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34956-2024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45527</v>
      </c>
      <c r="E442" s="1" t="n">
        <v>46216</v>
      </c>
      <c r="F442" t="inlineStr">
        <is>
          <t>KALMAR LÄN</t>
        </is>
      </c>
      <c r="G442" t="inlineStr">
        <is>
          <t>TORSÅS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45665</v>
      </c>
      <c r="E443" s="1" t="n">
        <v>46216</v>
      </c>
      <c r="F443" t="inlineStr">
        <is>
          <t>KALMAR LÄN</t>
        </is>
      </c>
      <c r="G443" t="inlineStr">
        <is>
          <t>TORSÅS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24666-2025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46216</v>
      </c>
      <c r="F444" t="inlineStr">
        <is>
          <t>KALMAR LÄN</t>
        </is>
      </c>
      <c r="G444" t="inlineStr">
        <is>
          <t>TORSÅS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39306-2024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45551</v>
      </c>
      <c r="E445" s="1" t="n">
        <v>46216</v>
      </c>
      <c r="F445" t="inlineStr">
        <is>
          <t>KALMAR LÄN</t>
        </is>
      </c>
      <c r="G445" t="inlineStr">
        <is>
          <t>TORSÅS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3937-2023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45235</v>
      </c>
      <c r="E446" s="1" t="n">
        <v>46216</v>
      </c>
      <c r="F446" t="inlineStr">
        <is>
          <t>KALMAR LÄN</t>
        </is>
      </c>
      <c r="G446" t="inlineStr">
        <is>
          <t>TORSÅS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221-2024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45316</v>
      </c>
      <c r="E447" s="1" t="n">
        <v>46216</v>
      </c>
      <c r="F447" t="inlineStr">
        <is>
          <t>KALMAR LÄN</t>
        </is>
      </c>
      <c r="G447" t="inlineStr">
        <is>
          <t>TORSÅS</t>
        </is>
      </c>
      <c r="I447" t="n">
        <v>17.6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3287-2024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45527</v>
      </c>
      <c r="E448" s="1" t="n">
        <v>46216</v>
      </c>
      <c r="F448" t="inlineStr">
        <is>
          <t>KALMAR LÄN</t>
        </is>
      </c>
      <c r="G448" t="inlineStr">
        <is>
          <t>TORSÅS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46216</v>
      </c>
      <c r="F449" t="inlineStr">
        <is>
          <t>KALMAR LÄN</t>
        </is>
      </c>
      <c r="G449" t="inlineStr">
        <is>
          <t>TORSÅS</t>
        </is>
      </c>
      <c r="I449" t="n">
        <v>15.7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1824-2022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44658</v>
      </c>
      <c r="E450" s="1" t="n">
        <v>46216</v>
      </c>
      <c r="F450" t="inlineStr">
        <is>
          <t>KALMAR LÄN</t>
        </is>
      </c>
      <c r="G450" t="inlineStr">
        <is>
          <t>TORSÅS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2489-2024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45471</v>
      </c>
      <c r="E451" s="1" t="n">
        <v>46216</v>
      </c>
      <c r="F451" t="inlineStr">
        <is>
          <t>KALMAR LÄN</t>
        </is>
      </c>
      <c r="G451" t="inlineStr">
        <is>
          <t>TORSÅS</t>
        </is>
      </c>
      <c r="I451" t="n">
        <v>18.2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1842-2024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46216</v>
      </c>
      <c r="F452" t="inlineStr">
        <is>
          <t>KALMAR LÄN</t>
        </is>
      </c>
      <c r="G452" t="inlineStr">
        <is>
          <t>TORSÅS</t>
        </is>
      </c>
      <c r="I452" t="n">
        <v>12.8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1843-2024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46216</v>
      </c>
      <c r="F453" t="inlineStr">
        <is>
          <t>KALMAR LÄN</t>
        </is>
      </c>
      <c r="G453" t="inlineStr">
        <is>
          <t>TORSÅS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4968-2021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44419</v>
      </c>
      <c r="E454" s="1" t="n">
        <v>46216</v>
      </c>
      <c r="F454" t="inlineStr">
        <is>
          <t>KALMAR LÄN</t>
        </is>
      </c>
      <c r="G454" t="inlineStr">
        <is>
          <t>TORSÅS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3767-2024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45558</v>
      </c>
      <c r="E455" s="1" t="n">
        <v>46216</v>
      </c>
      <c r="F455" t="inlineStr">
        <is>
          <t>KALMAR LÄN</t>
        </is>
      </c>
      <c r="G455" t="inlineStr">
        <is>
          <t>TORSÅS</t>
        </is>
      </c>
      <c r="I455" t="n">
        <v>19.8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866-2024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46216</v>
      </c>
      <c r="F456" t="inlineStr">
        <is>
          <t>KALMAR LÄN</t>
        </is>
      </c>
      <c r="G456" t="inlineStr">
        <is>
          <t>TORSÅS</t>
        </is>
      </c>
      <c r="I456" t="n">
        <v>16.6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7089-2021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44462</v>
      </c>
      <c r="E457" s="1" t="n">
        <v>46216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46216</v>
      </c>
      <c r="F458" t="inlineStr">
        <is>
          <t>KALMAR LÄN</t>
        </is>
      </c>
      <c r="G458" t="inlineStr">
        <is>
          <t>TORSÅS</t>
        </is>
      </c>
      <c r="I458" t="n">
        <v>33.3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45373</v>
      </c>
      <c r="E459" s="1" t="n">
        <v>46216</v>
      </c>
      <c r="F459" t="inlineStr">
        <is>
          <t>KALMAR LÄN</t>
        </is>
      </c>
      <c r="G459" t="inlineStr">
        <is>
          <t>TORSÅS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1059-2024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45387</v>
      </c>
      <c r="E460" s="1" t="n">
        <v>46216</v>
      </c>
      <c r="F460" t="inlineStr">
        <is>
          <t>KALMAR LÄN</t>
        </is>
      </c>
      <c r="G460" t="inlineStr">
        <is>
          <t>TORSÅS</t>
        </is>
      </c>
      <c r="I460" t="n">
        <v>11.9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867-2024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45373</v>
      </c>
      <c r="E461" s="1" t="n">
        <v>46216</v>
      </c>
      <c r="F461" t="inlineStr">
        <is>
          <t>KALMAR LÄN</t>
        </is>
      </c>
      <c r="G461" t="inlineStr">
        <is>
          <t>TORSÅS</t>
        </is>
      </c>
      <c r="I461" t="n">
        <v>19.2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1846-2024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45440</v>
      </c>
      <c r="E462" s="1" t="n">
        <v>46216</v>
      </c>
      <c r="F462" t="inlineStr">
        <is>
          <t>KALMAR LÄN</t>
        </is>
      </c>
      <c r="G462" t="inlineStr">
        <is>
          <t>TORSÅS</t>
        </is>
      </c>
      <c r="I462" t="n">
        <v>35.5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297-2025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45687</v>
      </c>
      <c r="E463" s="1" t="n">
        <v>46216</v>
      </c>
      <c r="F463" t="inlineStr">
        <is>
          <t>KALMAR LÄN</t>
        </is>
      </c>
      <c r="G463" t="inlineStr">
        <is>
          <t>TORSÅS</t>
        </is>
      </c>
      <c r="I463" t="n">
        <v>31.5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1848-2024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46216</v>
      </c>
      <c r="F464" t="inlineStr">
        <is>
          <t>KALMAR LÄN</t>
        </is>
      </c>
      <c r="G464" t="inlineStr">
        <is>
          <t>TORSÅS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56-2023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44928</v>
      </c>
      <c r="E465" s="1" t="n">
        <v>46216</v>
      </c>
      <c r="F465" t="inlineStr">
        <is>
          <t>KALMAR LÄN</t>
        </is>
      </c>
      <c r="G465" t="inlineStr">
        <is>
          <t>TORSÅS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598-2023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44971</v>
      </c>
      <c r="E466" s="1" t="n">
        <v>46216</v>
      </c>
      <c r="F466" t="inlineStr">
        <is>
          <t>KALMAR LÄN</t>
        </is>
      </c>
      <c r="G466" t="inlineStr">
        <is>
          <t>TORSÅS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1847-2024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45440</v>
      </c>
      <c r="E467" s="1" t="n">
        <v>46216</v>
      </c>
      <c r="F467" t="inlineStr">
        <is>
          <t>KALMAR LÄN</t>
        </is>
      </c>
      <c r="G467" t="inlineStr">
        <is>
          <t>TORSÅS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1526-2025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45791</v>
      </c>
      <c r="E468" s="1" t="n">
        <v>46216</v>
      </c>
      <c r="F468" t="inlineStr">
        <is>
          <t>KALMAR LÄN</t>
        </is>
      </c>
      <c r="G468" t="inlineStr">
        <is>
          <t>TORSÅS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1524-2025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45791</v>
      </c>
      <c r="E469" s="1" t="n">
        <v>46216</v>
      </c>
      <c r="F469" t="inlineStr">
        <is>
          <t>KALMAR LÄN</t>
        </is>
      </c>
      <c r="G469" t="inlineStr">
        <is>
          <t>TORSÅS</t>
        </is>
      </c>
      <c r="I469" t="n">
        <v>7.7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>
      <c r="A470" t="inlineStr">
        <is>
          <t>S 1525-2025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45791</v>
      </c>
      <c r="E470" s="1" t="n">
        <v>46216</v>
      </c>
      <c r="F470" t="inlineStr">
        <is>
          <t>KALMAR LÄN</t>
        </is>
      </c>
      <c r="G470" t="inlineStr">
        <is>
          <t>TORSÅS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2026-07-13T14:50:48Z</dcterms:created>
  <dcterms:modified xmlns:dcterms="http://purl.org/dc/terms/" xmlns:xsi="http://www.w3.org/2001/XMLSchema-instance" xsi:type="dcterms:W3CDTF">2026-07-13T14:50:48Z</dcterms:modified>
</cp:coreProperties>
</file>