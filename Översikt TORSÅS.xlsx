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46279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46279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46279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46279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46279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46279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46279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46279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46279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46279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46279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46279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46279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46279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46279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46279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46279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46279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46279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46279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46279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46279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46279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46279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46279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11606-2026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46084</v>
      </c>
      <c r="E32" s="1" t="n">
        <v>46279</v>
      </c>
      <c r="F32" t="inlineStr">
        <is>
          <t>KALMAR LÄN</t>
        </is>
      </c>
      <c r="G32" t="inlineStr">
        <is>
          <t>TORSÅS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HYPERLINK("https://klasma.github.io/Logging_0834/artfynd/A 11606-2026 artfynd.xlsx", "A 11606-2026")</f>
        <v/>
      </c>
      <c r="X32">
        <f>HYPERLINK("https://klasma.github.io/Logging_0834/kartor/A 11606-2026 karta.png", "A 11606-2026")</f>
        <v/>
      </c>
      <c r="Y32">
        <f>HYPERLINK("https://klasma.github.io/Logging_0834/kartor_geotiff/A 11606-2026 georefererad karta.tif", "A 11606-2026")</f>
        <v/>
      </c>
      <c r="AA32">
        <f>HYPERLINK("https://klasma.github.io/Logging_0834/klagomål/A 11606-2026 FSC-klagomål.docx", "A 11606-2026")</f>
        <v/>
      </c>
      <c r="AB32">
        <f>HYPERLINK("https://klasma.github.io/Logging_0834/klagomålsmail/A 11606-2026 FSC-klagomål mail.docx", "A 11606-2026")</f>
        <v/>
      </c>
      <c r="AC32">
        <f>HYPERLINK("https://klasma.github.io/Logging_0834/tillsyn/A 11606-2026 tillsynsbegäran.docx", "A 11606-2026")</f>
        <v/>
      </c>
      <c r="AD32">
        <f>HYPERLINK("https://klasma.github.io/Logging_0834/tillsynsmail/A 11606-2026 tillsynsbegäran mail.docx", "A 11606-2026")</f>
        <v/>
      </c>
    </row>
    <row r="33" ht="15" customHeight="1">
      <c r="A33" t="inlineStr">
        <is>
          <t>A 16467-2026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46279</v>
      </c>
      <c r="F33" t="inlineStr">
        <is>
          <t>KALMAR LÄN</t>
        </is>
      </c>
      <c r="G33" t="inlineStr">
        <is>
          <t>TORSÅS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HYPERLINK("https://klasma.github.io/Logging_0834/artfynd/A 16467-2026 artfynd.xlsx", "A 16467-2026")</f>
        <v/>
      </c>
      <c r="X33">
        <f>HYPERLINK("https://klasma.github.io/Logging_0834/kartor/A 16467-2026 karta.png", "A 16467-2026")</f>
        <v/>
      </c>
      <c r="Y33">
        <f>HYPERLINK("https://klasma.github.io/Logging_0834/kartor_geotiff/A 16467-2026 georefererad karta.tif", "A 16467-2026")</f>
        <v/>
      </c>
      <c r="AA33">
        <f>HYPERLINK("https://klasma.github.io/Logging_0834/klagomål/A 16467-2026 FSC-klagomål.docx", "A 16467-2026")</f>
        <v/>
      </c>
      <c r="AB33">
        <f>HYPERLINK("https://klasma.github.io/Logging_0834/klagomålsmail/A 16467-2026 FSC-klagomål mail.docx", "A 16467-2026")</f>
        <v/>
      </c>
      <c r="AC33">
        <f>HYPERLINK("https://klasma.github.io/Logging_0834/tillsyn/A 16467-2026 tillsynsbegäran.docx", "A 16467-2026")</f>
        <v/>
      </c>
      <c r="AD33">
        <f>HYPERLINK("https://klasma.github.io/Logging_0834/tillsynsmail/A 16467-2026 tillsynsbegäran mail.docx", "A 16467-2026")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46279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46279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46279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46279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46279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46279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46279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36625-2022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44804</v>
      </c>
      <c r="E41" s="1" t="n">
        <v>46279</v>
      </c>
      <c r="F41" t="inlineStr">
        <is>
          <t>KALMAR LÄN</t>
        </is>
      </c>
      <c r="G41" t="inlineStr">
        <is>
          <t>TORSÅS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HYPERLINK("https://klasma.github.io/Logging_0834/artfynd/A 36625-2022 artfynd.xlsx", "A 36625-2022")</f>
        <v/>
      </c>
      <c r="X41">
        <f>HYPERLINK("https://klasma.github.io/Logging_0834/kartor/A 36625-2022 karta.png", "A 36625-2022")</f>
        <v/>
      </c>
      <c r="Y41">
        <f>HYPERLINK("https://klasma.github.io/Logging_0834/kartor_geotiff/A 36625-2022 georefererad karta.tif", "A 36625-2022")</f>
        <v/>
      </c>
      <c r="AA41">
        <f>HYPERLINK("https://klasma.github.io/Logging_0834/klagomål/A 36625-2022 FSC-klagomål.docx", "A 36625-2022")</f>
        <v/>
      </c>
      <c r="AB41">
        <f>HYPERLINK("https://klasma.github.io/Logging_0834/klagomålsmail/A 36625-2022 FSC-klagomål mail.docx", "A 36625-2022")</f>
        <v/>
      </c>
      <c r="AC41">
        <f>HYPERLINK("https://klasma.github.io/Logging_0834/tillsyn/A 36625-2022 tillsynsbegäran.docx", "A 36625-2022")</f>
        <v/>
      </c>
      <c r="AD41">
        <f>HYPERLINK("https://klasma.github.io/Logging_0834/tillsynsmail/A 36625-2022 tillsynsbegäran mail.docx", "A 36625-2022")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46279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46279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46279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46279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44226-2024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46279</v>
      </c>
      <c r="F46" t="inlineStr">
        <is>
          <t>KALMAR LÄN</t>
        </is>
      </c>
      <c r="G46" t="inlineStr">
        <is>
          <t>TORSÅS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HYPERLINK("https://klasma.github.io/Logging_0834/artfynd/A 44226-2024 artfynd.xlsx", "A 44226-2024")</f>
        <v/>
      </c>
      <c r="X46">
        <f>HYPERLINK("https://klasma.github.io/Logging_0834/kartor/A 44226-2024 karta.png", "A 44226-2024")</f>
        <v/>
      </c>
      <c r="Y46">
        <f>HYPERLINK("https://klasma.github.io/Logging_0834/kartor_geotiff/A 44226-2024 georefererad karta.tif", "A 44226-2024")</f>
        <v/>
      </c>
      <c r="AA46">
        <f>HYPERLINK("https://klasma.github.io/Logging_0834/klagomål/A 44226-2024 FSC-klagomål.docx", "A 44226-2024")</f>
        <v/>
      </c>
      <c r="AB46">
        <f>HYPERLINK("https://klasma.github.io/Logging_0834/klagomålsmail/A 44226-2024 FSC-klagomål mail.docx", "A 44226-2024")</f>
        <v/>
      </c>
      <c r="AC46">
        <f>HYPERLINK("https://klasma.github.io/Logging_0834/tillsyn/A 44226-2024 tillsynsbegäran.docx", "A 44226-2024")</f>
        <v/>
      </c>
      <c r="AD46">
        <f>HYPERLINK("https://klasma.github.io/Logging_0834/tillsynsmail/A 44226-2024 tillsynsbegäran mail.docx", "A 44226-2024")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46279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46279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46279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46279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46279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46279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46279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46279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46279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46279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46279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46279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46279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46279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46279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46279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46279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46279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46279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46279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46279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46279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46279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46279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46279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46279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46279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46279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46279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46279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46279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46279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46279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46279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46279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46279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44879</v>
      </c>
      <c r="E86" s="1" t="n">
        <v>46279</v>
      </c>
      <c r="F86" t="inlineStr">
        <is>
          <t>KALMAR LÄN</t>
        </is>
      </c>
      <c r="G86" t="inlineStr">
        <is>
          <t>TORSÅS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46279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44652</v>
      </c>
      <c r="E88" s="1" t="n">
        <v>46279</v>
      </c>
      <c r="F88" t="inlineStr">
        <is>
          <t>KALMAR LÄN</t>
        </is>
      </c>
      <c r="G88" t="inlineStr">
        <is>
          <t>TORSÅS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46279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46279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58776-2021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46279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46279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46279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46279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46279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46279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46279</v>
      </c>
      <c r="F97" t="inlineStr">
        <is>
          <t>KALMAR LÄN</t>
        </is>
      </c>
      <c r="G97" t="inlineStr">
        <is>
          <t>TORSÅS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46279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46279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44658</v>
      </c>
      <c r="E100" s="1" t="n">
        <v>46279</v>
      </c>
      <c r="F100" t="inlineStr">
        <is>
          <t>KALMAR LÄN</t>
        </is>
      </c>
      <c r="G100" t="inlineStr">
        <is>
          <t>TORSÅS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46279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46279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46279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46279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46279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45323</v>
      </c>
      <c r="E106" s="1" t="n">
        <v>46279</v>
      </c>
      <c r="F106" t="inlineStr">
        <is>
          <t>KALMAR LÄN</t>
        </is>
      </c>
      <c r="G106" t="inlineStr">
        <is>
          <t>TORSÅS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44725</v>
      </c>
      <c r="E107" s="1" t="n">
        <v>46279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46279</v>
      </c>
      <c r="F108" t="inlineStr">
        <is>
          <t>KALMAR LÄN</t>
        </is>
      </c>
      <c r="G108" t="inlineStr">
        <is>
          <t>TORSÅS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46279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46279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46279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46279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46279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46279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46279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46279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46279</v>
      </c>
      <c r="F117" t="inlineStr">
        <is>
          <t>KALMAR LÄN</t>
        </is>
      </c>
      <c r="G117" t="inlineStr">
        <is>
          <t>TORSÅS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46279</v>
      </c>
      <c r="F118" t="inlineStr">
        <is>
          <t>KALMAR LÄN</t>
        </is>
      </c>
      <c r="G118" t="inlineStr">
        <is>
          <t>TORSÅS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46279</v>
      </c>
      <c r="F119" t="inlineStr">
        <is>
          <t>KALMAR LÄN</t>
        </is>
      </c>
      <c r="G119" t="inlineStr">
        <is>
          <t>TORSÅS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45308</v>
      </c>
      <c r="E120" s="1" t="n">
        <v>46279</v>
      </c>
      <c r="F120" t="inlineStr">
        <is>
          <t>KALMAR LÄN</t>
        </is>
      </c>
      <c r="G120" t="inlineStr">
        <is>
          <t>TORSÅS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46279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46279</v>
      </c>
      <c r="F122" t="inlineStr">
        <is>
          <t>KALMAR LÄN</t>
        </is>
      </c>
      <c r="G122" t="inlineStr">
        <is>
          <t>TORSÅS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46279</v>
      </c>
      <c r="F123" t="inlineStr">
        <is>
          <t>KALMAR LÄN</t>
        </is>
      </c>
      <c r="G123" t="inlineStr">
        <is>
          <t>TORSÅS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44849</v>
      </c>
      <c r="E124" s="1" t="n">
        <v>46279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46279</v>
      </c>
      <c r="F125" t="inlineStr">
        <is>
          <t>KALMAR LÄN</t>
        </is>
      </c>
      <c r="G125" t="inlineStr">
        <is>
          <t>TORSÅS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65651-2021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46279</v>
      </c>
      <c r="F126" t="inlineStr">
        <is>
          <t>KALMAR LÄN</t>
        </is>
      </c>
      <c r="G126" t="inlineStr">
        <is>
          <t>TORSÅS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46279</v>
      </c>
      <c r="F127" t="inlineStr">
        <is>
          <t>KALMAR LÄN</t>
        </is>
      </c>
      <c r="G127" t="inlineStr">
        <is>
          <t>TORSÅS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46279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68493-2021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46279</v>
      </c>
      <c r="F129" t="inlineStr">
        <is>
          <t>KALMAR LÄN</t>
        </is>
      </c>
      <c r="G129" t="inlineStr">
        <is>
          <t>TORSÅS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46279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46279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46279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64348-2021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44511</v>
      </c>
      <c r="E133" s="1" t="n">
        <v>46279</v>
      </c>
      <c r="F133" t="inlineStr">
        <is>
          <t>KALMAR LÄN</t>
        </is>
      </c>
      <c r="G133" t="inlineStr">
        <is>
          <t>TORSÅS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46279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46279</v>
      </c>
      <c r="F135" t="inlineStr">
        <is>
          <t>KALMAR LÄN</t>
        </is>
      </c>
      <c r="G135" t="inlineStr">
        <is>
          <t>TORSÅS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46279</v>
      </c>
      <c r="F136" t="inlineStr">
        <is>
          <t>KALMAR LÄN</t>
        </is>
      </c>
      <c r="G136" t="inlineStr">
        <is>
          <t>TORSÅS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44640</v>
      </c>
      <c r="E137" s="1" t="n">
        <v>46279</v>
      </c>
      <c r="F137" t="inlineStr">
        <is>
          <t>KALMAR LÄN</t>
        </is>
      </c>
      <c r="G137" t="inlineStr">
        <is>
          <t>TORSÅS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46279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46279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46279</v>
      </c>
      <c r="F140" t="inlineStr">
        <is>
          <t>KALMAR LÄN</t>
        </is>
      </c>
      <c r="G140" t="inlineStr">
        <is>
          <t>TORSÅS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46279</v>
      </c>
      <c r="F141" t="inlineStr">
        <is>
          <t>KALMAR LÄN</t>
        </is>
      </c>
      <c r="G141" t="inlineStr">
        <is>
          <t>TORSÅS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46279</v>
      </c>
      <c r="F142" t="inlineStr">
        <is>
          <t>KALMAR LÄN</t>
        </is>
      </c>
      <c r="G142" t="inlineStr">
        <is>
          <t>TORSÅS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46279</v>
      </c>
      <c r="F143" t="inlineStr">
        <is>
          <t>KALMAR LÄN</t>
        </is>
      </c>
      <c r="G143" t="inlineStr">
        <is>
          <t>TORSÅS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28945-2025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45820</v>
      </c>
      <c r="E144" s="1" t="n">
        <v>46279</v>
      </c>
      <c r="F144" t="inlineStr">
        <is>
          <t>KALMAR LÄN</t>
        </is>
      </c>
      <c r="G144" t="inlineStr">
        <is>
          <t>TORSÅS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37210-2023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46279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46279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46279</v>
      </c>
      <c r="F147" t="inlineStr">
        <is>
          <t>KALMAR LÄN</t>
        </is>
      </c>
      <c r="G147" t="inlineStr">
        <is>
          <t>TORSÅS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46279</v>
      </c>
      <c r="F148" t="inlineStr">
        <is>
          <t>KALMAR LÄN</t>
        </is>
      </c>
      <c r="G148" t="inlineStr">
        <is>
          <t>TORSÅS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46279</v>
      </c>
      <c r="F149" t="inlineStr">
        <is>
          <t>KALMAR LÄN</t>
        </is>
      </c>
      <c r="G149" t="inlineStr">
        <is>
          <t>TORSÅS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46279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46279</v>
      </c>
      <c r="F151" t="inlineStr">
        <is>
          <t>KALMAR LÄN</t>
        </is>
      </c>
      <c r="G151" t="inlineStr">
        <is>
          <t>TORSÅS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46279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46279</v>
      </c>
      <c r="F153" t="inlineStr">
        <is>
          <t>KALMAR LÄN</t>
        </is>
      </c>
      <c r="G153" t="inlineStr">
        <is>
          <t>TORSÅS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46279</v>
      </c>
      <c r="F154" t="inlineStr">
        <is>
          <t>KALMAR LÄN</t>
        </is>
      </c>
      <c r="G154" t="inlineStr">
        <is>
          <t>TORSÅS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46279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46279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46279</v>
      </c>
      <c r="F157" t="inlineStr">
        <is>
          <t>KALMAR LÄN</t>
        </is>
      </c>
      <c r="G157" t="inlineStr">
        <is>
          <t>TORSÅS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46279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46279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46279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46279</v>
      </c>
      <c r="F161" t="inlineStr">
        <is>
          <t>KALMAR LÄN</t>
        </is>
      </c>
      <c r="G161" t="inlineStr">
        <is>
          <t>TORSÅS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46279</v>
      </c>
      <c r="F162" t="inlineStr">
        <is>
          <t>KALMAR LÄN</t>
        </is>
      </c>
      <c r="G162" t="inlineStr">
        <is>
          <t>TORSÅS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46279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46279</v>
      </c>
      <c r="F164" t="inlineStr">
        <is>
          <t>KALMAR LÄN</t>
        </is>
      </c>
      <c r="G164" t="inlineStr">
        <is>
          <t>TORSÅS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46279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45916</v>
      </c>
      <c r="E166" s="1" t="n">
        <v>46279</v>
      </c>
      <c r="F166" t="inlineStr">
        <is>
          <t>KALMAR LÄN</t>
        </is>
      </c>
      <c r="G166" t="inlineStr">
        <is>
          <t>TORSÅS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46279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46279</v>
      </c>
      <c r="F168" t="inlineStr">
        <is>
          <t>KALMAR LÄN</t>
        </is>
      </c>
      <c r="G168" t="inlineStr">
        <is>
          <t>TORSÅS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46279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46279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46279</v>
      </c>
      <c r="F171" t="inlineStr">
        <is>
          <t>KALMAR LÄN</t>
        </is>
      </c>
      <c r="G171" t="inlineStr">
        <is>
          <t>TORSÅS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46279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45880</v>
      </c>
      <c r="E173" s="1" t="n">
        <v>46279</v>
      </c>
      <c r="F173" t="inlineStr">
        <is>
          <t>KALMAR LÄN</t>
        </is>
      </c>
      <c r="G173" t="inlineStr">
        <is>
          <t>TORSÅS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46279</v>
      </c>
      <c r="F174" t="inlineStr">
        <is>
          <t>KALMAR LÄN</t>
        </is>
      </c>
      <c r="G174" t="inlineStr">
        <is>
          <t>TORSÅS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45880</v>
      </c>
      <c r="E175" s="1" t="n">
        <v>46279</v>
      </c>
      <c r="F175" t="inlineStr">
        <is>
          <t>KALMAR LÄN</t>
        </is>
      </c>
      <c r="G175" t="inlineStr">
        <is>
          <t>TORSÅS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46279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60055-2021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44495</v>
      </c>
      <c r="E177" s="1" t="n">
        <v>46279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46279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46279</v>
      </c>
      <c r="F179" t="inlineStr">
        <is>
          <t>KALMAR LÄN</t>
        </is>
      </c>
      <c r="G179" t="inlineStr">
        <is>
          <t>TORSÅS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46279</v>
      </c>
      <c r="F180" t="inlineStr">
        <is>
          <t>KALMAR LÄN</t>
        </is>
      </c>
      <c r="G180" t="inlineStr">
        <is>
          <t>TORSÅS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46279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46279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46279</v>
      </c>
      <c r="F183" t="inlineStr">
        <is>
          <t>KALMAR LÄN</t>
        </is>
      </c>
      <c r="G183" t="inlineStr">
        <is>
          <t>TORSÅS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46279</v>
      </c>
      <c r="F184" t="inlineStr">
        <is>
          <t>KALMAR LÄN</t>
        </is>
      </c>
      <c r="G184" t="inlineStr">
        <is>
          <t>TORSÅS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46279</v>
      </c>
      <c r="F185" t="inlineStr">
        <is>
          <t>KALMAR LÄN</t>
        </is>
      </c>
      <c r="G185" t="inlineStr">
        <is>
          <t>TORSÅS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46279</v>
      </c>
      <c r="F186" t="inlineStr">
        <is>
          <t>KALMAR LÄN</t>
        </is>
      </c>
      <c r="G186" t="inlineStr">
        <is>
          <t>TORSÅS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46279</v>
      </c>
      <c r="F187" t="inlineStr">
        <is>
          <t>KALMAR LÄN</t>
        </is>
      </c>
      <c r="G187" t="inlineStr">
        <is>
          <t>TORSÅS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46279</v>
      </c>
      <c r="F188" t="inlineStr">
        <is>
          <t>KALMAR LÄN</t>
        </is>
      </c>
      <c r="G188" t="inlineStr">
        <is>
          <t>TORSÅS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46279</v>
      </c>
      <c r="F189" t="inlineStr">
        <is>
          <t>KALMAR LÄN</t>
        </is>
      </c>
      <c r="G189" t="inlineStr">
        <is>
          <t>TORSÅS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46279</v>
      </c>
      <c r="F190" t="inlineStr">
        <is>
          <t>KALMAR LÄN</t>
        </is>
      </c>
      <c r="G190" t="inlineStr">
        <is>
          <t>TORSÅS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44739</v>
      </c>
      <c r="E191" s="1" t="n">
        <v>46279</v>
      </c>
      <c r="F191" t="inlineStr">
        <is>
          <t>KALMAR LÄN</t>
        </is>
      </c>
      <c r="G191" t="inlineStr">
        <is>
          <t>TORSÅS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46279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46279</v>
      </c>
      <c r="F193" t="inlineStr">
        <is>
          <t>KALMAR LÄN</t>
        </is>
      </c>
      <c r="G193" t="inlineStr">
        <is>
          <t>TORSÅS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46279</v>
      </c>
      <c r="F194" t="inlineStr">
        <is>
          <t>KALMAR LÄN</t>
        </is>
      </c>
      <c r="G194" t="inlineStr">
        <is>
          <t>TORSÅS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46279</v>
      </c>
      <c r="F195" t="inlineStr">
        <is>
          <t>KALMAR LÄN</t>
        </is>
      </c>
      <c r="G195" t="inlineStr">
        <is>
          <t>TORSÅS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46279</v>
      </c>
      <c r="F196" t="inlineStr">
        <is>
          <t>KALMAR LÄN</t>
        </is>
      </c>
      <c r="G196" t="inlineStr">
        <is>
          <t>TORSÅS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46279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46279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44985</v>
      </c>
      <c r="E199" s="1" t="n">
        <v>46279</v>
      </c>
      <c r="F199" t="inlineStr">
        <is>
          <t>KALMAR LÄN</t>
        </is>
      </c>
      <c r="G199" t="inlineStr">
        <is>
          <t>TORSÅS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46279</v>
      </c>
      <c r="F200" t="inlineStr">
        <is>
          <t>KALMAR LÄN</t>
        </is>
      </c>
      <c r="G200" t="inlineStr">
        <is>
          <t>TORSÅS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44683</v>
      </c>
      <c r="E201" s="1" t="n">
        <v>46279</v>
      </c>
      <c r="F201" t="inlineStr">
        <is>
          <t>KALMAR LÄN</t>
        </is>
      </c>
      <c r="G201" t="inlineStr">
        <is>
          <t>TORSÅS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44683</v>
      </c>
      <c r="E202" s="1" t="n">
        <v>46279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46279</v>
      </c>
      <c r="F203" t="inlineStr">
        <is>
          <t>KALMAR LÄN</t>
        </is>
      </c>
      <c r="G203" t="inlineStr">
        <is>
          <t>TORSÅS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46279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46279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46279</v>
      </c>
      <c r="F206" t="inlineStr">
        <is>
          <t>KALMAR LÄN</t>
        </is>
      </c>
      <c r="G206" t="inlineStr">
        <is>
          <t>TORSÅS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44839-2022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44841</v>
      </c>
      <c r="E207" s="1" t="n">
        <v>46279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46279</v>
      </c>
      <c r="F208" t="inlineStr">
        <is>
          <t>KALMAR LÄN</t>
        </is>
      </c>
      <c r="G208" t="inlineStr">
        <is>
          <t>TORSÅS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46279</v>
      </c>
      <c r="F209" t="inlineStr">
        <is>
          <t>KALMAR LÄN</t>
        </is>
      </c>
      <c r="G209" t="inlineStr">
        <is>
          <t>TORSÅS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45155</v>
      </c>
      <c r="E210" s="1" t="n">
        <v>46279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44827</v>
      </c>
      <c r="E211" s="1" t="n">
        <v>46279</v>
      </c>
      <c r="F211" t="inlineStr">
        <is>
          <t>KALMAR LÄN</t>
        </is>
      </c>
      <c r="G211" t="inlineStr">
        <is>
          <t>TORSÅS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46279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46279</v>
      </c>
      <c r="F213" t="inlineStr">
        <is>
          <t>KALMAR LÄN</t>
        </is>
      </c>
      <c r="G213" t="inlineStr">
        <is>
          <t>TORSÅS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46279</v>
      </c>
      <c r="F214" t="inlineStr">
        <is>
          <t>KALMAR LÄN</t>
        </is>
      </c>
      <c r="G214" t="inlineStr">
        <is>
          <t>TORSÅS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46279</v>
      </c>
      <c r="F215" t="inlineStr">
        <is>
          <t>KALMAR LÄN</t>
        </is>
      </c>
      <c r="G215" t="inlineStr">
        <is>
          <t>TORSÅS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46279</v>
      </c>
      <c r="F216" t="inlineStr">
        <is>
          <t>KALMAR LÄN</t>
        </is>
      </c>
      <c r="G216" t="inlineStr">
        <is>
          <t>TORSÅS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46279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44457</v>
      </c>
      <c r="E218" s="1" t="n">
        <v>46279</v>
      </c>
      <c r="F218" t="inlineStr">
        <is>
          <t>KALMAR LÄN</t>
        </is>
      </c>
      <c r="G218" t="inlineStr">
        <is>
          <t>TORSÅS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46279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46279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46279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46279</v>
      </c>
      <c r="F222" t="inlineStr">
        <is>
          <t>KALMAR LÄN</t>
        </is>
      </c>
      <c r="G222" t="inlineStr">
        <is>
          <t>TORSÅS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59130-2025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45988</v>
      </c>
      <c r="E223" s="1" t="n">
        <v>46279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46279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46279</v>
      </c>
      <c r="F225" t="inlineStr">
        <is>
          <t>KALMAR LÄN</t>
        </is>
      </c>
      <c r="G225" t="inlineStr">
        <is>
          <t>TORSÅS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46279</v>
      </c>
      <c r="F226" t="inlineStr">
        <is>
          <t>KALMAR LÄN</t>
        </is>
      </c>
      <c r="G226" t="inlineStr">
        <is>
          <t>TORSÅS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46279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46279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46279</v>
      </c>
      <c r="F229" t="inlineStr">
        <is>
          <t>KALMAR LÄN</t>
        </is>
      </c>
      <c r="G229" t="inlineStr">
        <is>
          <t>TORSÅS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46279</v>
      </c>
      <c r="F230" t="inlineStr">
        <is>
          <t>KALMAR LÄN</t>
        </is>
      </c>
      <c r="G230" t="inlineStr">
        <is>
          <t>TORSÅS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46279</v>
      </c>
      <c r="F231" t="inlineStr">
        <is>
          <t>KALMAR LÄN</t>
        </is>
      </c>
      <c r="G231" t="inlineStr">
        <is>
          <t>TORSÅS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46279</v>
      </c>
      <c r="F232" t="inlineStr">
        <is>
          <t>KALMAR LÄN</t>
        </is>
      </c>
      <c r="G232" t="inlineStr">
        <is>
          <t>TORSÅS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46279</v>
      </c>
      <c r="F233" t="inlineStr">
        <is>
          <t>KALMAR LÄN</t>
        </is>
      </c>
      <c r="G233" t="inlineStr">
        <is>
          <t>TORSÅS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46279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46279</v>
      </c>
      <c r="F235" t="inlineStr">
        <is>
          <t>KALMAR LÄN</t>
        </is>
      </c>
      <c r="G235" t="inlineStr">
        <is>
          <t>TORSÅS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46092</v>
      </c>
      <c r="E236" s="1" t="n">
        <v>46279</v>
      </c>
      <c r="F236" t="inlineStr">
        <is>
          <t>KALMAR LÄN</t>
        </is>
      </c>
      <c r="G236" t="inlineStr">
        <is>
          <t>TORSÅS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46279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44950</v>
      </c>
      <c r="E238" s="1" t="n">
        <v>46279</v>
      </c>
      <c r="F238" t="inlineStr">
        <is>
          <t>KALMAR LÄN</t>
        </is>
      </c>
      <c r="G238" t="inlineStr">
        <is>
          <t>TORSÅS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45350</v>
      </c>
      <c r="E239" s="1" t="n">
        <v>46279</v>
      </c>
      <c r="F239" t="inlineStr">
        <is>
          <t>KALMAR LÄN</t>
        </is>
      </c>
      <c r="G239" t="inlineStr">
        <is>
          <t>TORSÅS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46279</v>
      </c>
      <c r="F240" t="inlineStr">
        <is>
          <t>KALMAR LÄN</t>
        </is>
      </c>
      <c r="G240" t="inlineStr">
        <is>
          <t>TORSÅS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45329</v>
      </c>
      <c r="E241" s="1" t="n">
        <v>46279</v>
      </c>
      <c r="F241" t="inlineStr">
        <is>
          <t>KALMAR LÄN</t>
        </is>
      </c>
      <c r="G241" t="inlineStr">
        <is>
          <t>TORSÅS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44965</v>
      </c>
      <c r="E242" s="1" t="n">
        <v>46279</v>
      </c>
      <c r="F242" t="inlineStr">
        <is>
          <t>KALMAR LÄN</t>
        </is>
      </c>
      <c r="G242" t="inlineStr">
        <is>
          <t>TORSÅS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46279</v>
      </c>
      <c r="F243" t="inlineStr">
        <is>
          <t>KALMAR LÄN</t>
        </is>
      </c>
      <c r="G243" t="inlineStr">
        <is>
          <t>TORSÅS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46279</v>
      </c>
      <c r="F244" t="inlineStr">
        <is>
          <t>KALMAR LÄN</t>
        </is>
      </c>
      <c r="G244" t="inlineStr">
        <is>
          <t>TORSÅS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46279</v>
      </c>
      <c r="F245" t="inlineStr">
        <is>
          <t>KALMAR LÄN</t>
        </is>
      </c>
      <c r="G245" t="inlineStr">
        <is>
          <t>TORSÅS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46279</v>
      </c>
      <c r="F246" t="inlineStr">
        <is>
          <t>KALMAR LÄN</t>
        </is>
      </c>
      <c r="G246" t="inlineStr">
        <is>
          <t>TORSÅS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46279</v>
      </c>
      <c r="F247" t="inlineStr">
        <is>
          <t>KALMAR LÄN</t>
        </is>
      </c>
      <c r="G247" t="inlineStr">
        <is>
          <t>TORSÅS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33939-2022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44790</v>
      </c>
      <c r="E248" s="1" t="n">
        <v>46279</v>
      </c>
      <c r="F248" t="inlineStr">
        <is>
          <t>KALMAR LÄN</t>
        </is>
      </c>
      <c r="G248" t="inlineStr">
        <is>
          <t>TORSÅS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46279</v>
      </c>
      <c r="F249" t="inlineStr">
        <is>
          <t>KALMAR LÄN</t>
        </is>
      </c>
      <c r="G249" t="inlineStr">
        <is>
          <t>TORSÅS</t>
        </is>
      </c>
      <c r="I249" t="n">
        <v>15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46279</v>
      </c>
      <c r="F250" t="inlineStr">
        <is>
          <t>KALMAR LÄN</t>
        </is>
      </c>
      <c r="G250" t="inlineStr">
        <is>
          <t>TORSÅS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46279</v>
      </c>
      <c r="F251" t="inlineStr">
        <is>
          <t>KALMAR LÄN</t>
        </is>
      </c>
      <c r="G251" t="inlineStr">
        <is>
          <t>TORSÅS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43066-2024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45567</v>
      </c>
      <c r="E252" s="1" t="n">
        <v>46279</v>
      </c>
      <c r="F252" t="inlineStr">
        <is>
          <t>KALMAR LÄN</t>
        </is>
      </c>
      <c r="G252" t="inlineStr">
        <is>
          <t>TORSÅS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44910</v>
      </c>
      <c r="E253" s="1" t="n">
        <v>46279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46279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10472-2023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44987</v>
      </c>
      <c r="E255" s="1" t="n">
        <v>46279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46279</v>
      </c>
      <c r="F256" t="inlineStr">
        <is>
          <t>KALMAR LÄN</t>
        </is>
      </c>
      <c r="G256" t="inlineStr">
        <is>
          <t>TORSÅS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46279</v>
      </c>
      <c r="F257" t="inlineStr">
        <is>
          <t>KALMAR LÄN</t>
        </is>
      </c>
      <c r="G257" t="inlineStr">
        <is>
          <t>TORSÅS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45288</v>
      </c>
      <c r="E258" s="1" t="n">
        <v>46279</v>
      </c>
      <c r="F258" t="inlineStr">
        <is>
          <t>KALMAR LÄN</t>
        </is>
      </c>
      <c r="G258" t="inlineStr">
        <is>
          <t>TORSÅS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46279</v>
      </c>
      <c r="F259" t="inlineStr">
        <is>
          <t>KALMAR LÄN</t>
        </is>
      </c>
      <c r="G259" t="inlineStr">
        <is>
          <t>TORSÅS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46279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46279</v>
      </c>
      <c r="F261" t="inlineStr">
        <is>
          <t>KALMAR LÄN</t>
        </is>
      </c>
      <c r="G261" t="inlineStr">
        <is>
          <t>TORSÅS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32525-2024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45513</v>
      </c>
      <c r="E262" s="1" t="n">
        <v>46279</v>
      </c>
      <c r="F262" t="inlineStr">
        <is>
          <t>KALMAR LÄN</t>
        </is>
      </c>
      <c r="G262" t="inlineStr">
        <is>
          <t>TORSÅS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32532-2024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45513</v>
      </c>
      <c r="E263" s="1" t="n">
        <v>46279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46279</v>
      </c>
      <c r="F264" t="inlineStr">
        <is>
          <t>KALMAR LÄN</t>
        </is>
      </c>
      <c r="G264" t="inlineStr">
        <is>
          <t>TORSÅS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46279</v>
      </c>
      <c r="F265" t="inlineStr">
        <is>
          <t>KALMAR LÄN</t>
        </is>
      </c>
      <c r="G265" t="inlineStr">
        <is>
          <t>TORSÅS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46279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46279</v>
      </c>
      <c r="F267" t="inlineStr">
        <is>
          <t>KALMAR LÄN</t>
        </is>
      </c>
      <c r="G267" t="inlineStr">
        <is>
          <t>TORSÅS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44967</v>
      </c>
      <c r="E268" s="1" t="n">
        <v>46279</v>
      </c>
      <c r="F268" t="inlineStr">
        <is>
          <t>KALMAR LÄN</t>
        </is>
      </c>
      <c r="G268" t="inlineStr">
        <is>
          <t>TORSÅS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46279</v>
      </c>
      <c r="F269" t="inlineStr">
        <is>
          <t>KALMAR LÄN</t>
        </is>
      </c>
      <c r="G269" t="inlineStr">
        <is>
          <t>TORSÅS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46279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46279</v>
      </c>
      <c r="F271" t="inlineStr">
        <is>
          <t>KALMAR LÄN</t>
        </is>
      </c>
      <c r="G271" t="inlineStr">
        <is>
          <t>TORSÅS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70315-2021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46279</v>
      </c>
      <c r="F272" t="inlineStr">
        <is>
          <t>KALMAR LÄN</t>
        </is>
      </c>
      <c r="G272" t="inlineStr">
        <is>
          <t>TORSÅS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46279</v>
      </c>
      <c r="F273" t="inlineStr">
        <is>
          <t>KALMAR LÄN</t>
        </is>
      </c>
      <c r="G273" t="inlineStr">
        <is>
          <t>TORSÅS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46279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46279</v>
      </c>
      <c r="F275" t="inlineStr">
        <is>
          <t>KALMAR LÄN</t>
        </is>
      </c>
      <c r="G275" t="inlineStr">
        <is>
          <t>TORSÅS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46279</v>
      </c>
      <c r="F276" t="inlineStr">
        <is>
          <t>KALMAR LÄN</t>
        </is>
      </c>
      <c r="G276" t="inlineStr">
        <is>
          <t>TORSÅS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45624</v>
      </c>
      <c r="E277" s="1" t="n">
        <v>46279</v>
      </c>
      <c r="F277" t="inlineStr">
        <is>
          <t>KALMAR LÄN</t>
        </is>
      </c>
      <c r="G277" t="inlineStr">
        <is>
          <t>TORSÅS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45027</v>
      </c>
      <c r="E278" s="1" t="n">
        <v>46279</v>
      </c>
      <c r="F278" t="inlineStr">
        <is>
          <t>KALMAR LÄN</t>
        </is>
      </c>
      <c r="G278" t="inlineStr">
        <is>
          <t>TORSÅS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44795</v>
      </c>
      <c r="E279" s="1" t="n">
        <v>46279</v>
      </c>
      <c r="F279" t="inlineStr">
        <is>
          <t>KALMAR LÄN</t>
        </is>
      </c>
      <c r="G279" t="inlineStr">
        <is>
          <t>TORSÅS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44998</v>
      </c>
      <c r="E280" s="1" t="n">
        <v>46279</v>
      </c>
      <c r="F280" t="inlineStr">
        <is>
          <t>KALMAR LÄN</t>
        </is>
      </c>
      <c r="G280" t="inlineStr">
        <is>
          <t>TORSÅS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46279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46279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46279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46279</v>
      </c>
      <c r="F284" t="inlineStr">
        <is>
          <t>KALMAR LÄN</t>
        </is>
      </c>
      <c r="G284" t="inlineStr">
        <is>
          <t>TORSÅS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46279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46279</v>
      </c>
      <c r="F286" t="inlineStr">
        <is>
          <t>KALMAR LÄN</t>
        </is>
      </c>
      <c r="G286" t="inlineStr">
        <is>
          <t>TORSÅS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46279</v>
      </c>
      <c r="F287" t="inlineStr">
        <is>
          <t>KALMAR LÄN</t>
        </is>
      </c>
      <c r="G287" t="inlineStr">
        <is>
          <t>TORSÅS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44861</v>
      </c>
      <c r="E288" s="1" t="n">
        <v>46279</v>
      </c>
      <c r="F288" t="inlineStr">
        <is>
          <t>KALMAR LÄN</t>
        </is>
      </c>
      <c r="G288" t="inlineStr">
        <is>
          <t>TORSÅS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46279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46279</v>
      </c>
      <c r="F290" t="inlineStr">
        <is>
          <t>KALMAR LÄN</t>
        </is>
      </c>
      <c r="G290" t="inlineStr">
        <is>
          <t>TORSÅS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46279</v>
      </c>
      <c r="F291" t="inlineStr">
        <is>
          <t>KALMAR LÄN</t>
        </is>
      </c>
      <c r="G291" t="inlineStr">
        <is>
          <t>TORSÅS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46279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46279</v>
      </c>
      <c r="F293" t="inlineStr">
        <is>
          <t>KALMAR LÄN</t>
        </is>
      </c>
      <c r="G293" t="inlineStr">
        <is>
          <t>TORSÅS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46279</v>
      </c>
      <c r="F294" t="inlineStr">
        <is>
          <t>KALMAR LÄN</t>
        </is>
      </c>
      <c r="G294" t="inlineStr">
        <is>
          <t>TORSÅS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46279</v>
      </c>
      <c r="F295" t="inlineStr">
        <is>
          <t>KALMAR LÄN</t>
        </is>
      </c>
      <c r="G295" t="inlineStr">
        <is>
          <t>TORSÅS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46279</v>
      </c>
      <c r="F296" t="inlineStr">
        <is>
          <t>KALMAR LÄN</t>
        </is>
      </c>
      <c r="G296" t="inlineStr">
        <is>
          <t>TORSÅS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65157-2023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46279</v>
      </c>
      <c r="F297" t="inlineStr">
        <is>
          <t>KALMAR LÄN</t>
        </is>
      </c>
      <c r="G297" t="inlineStr">
        <is>
          <t>TORSÅS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46279</v>
      </c>
      <c r="F298" t="inlineStr">
        <is>
          <t>KALMAR LÄN</t>
        </is>
      </c>
      <c r="G298" t="inlineStr">
        <is>
          <t>TORSÅS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46279</v>
      </c>
      <c r="F299" t="inlineStr">
        <is>
          <t>KALMAR LÄN</t>
        </is>
      </c>
      <c r="G299" t="inlineStr">
        <is>
          <t>TORSÅS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46279</v>
      </c>
      <c r="F300" t="inlineStr">
        <is>
          <t>KALMAR LÄN</t>
        </is>
      </c>
      <c r="G300" t="inlineStr">
        <is>
          <t>TORSÅS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25072-2026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46174</v>
      </c>
      <c r="E301" s="1" t="n">
        <v>46279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46279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46279</v>
      </c>
      <c r="F303" t="inlineStr">
        <is>
          <t>KALMAR LÄN</t>
        </is>
      </c>
      <c r="G303" t="inlineStr">
        <is>
          <t>TORSÅS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45159</v>
      </c>
      <c r="E304" s="1" t="n">
        <v>46279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46279</v>
      </c>
      <c r="F305" t="inlineStr">
        <is>
          <t>KALMAR LÄN</t>
        </is>
      </c>
      <c r="G305" t="inlineStr">
        <is>
          <t>TORSÅS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46279</v>
      </c>
      <c r="F306" t="inlineStr">
        <is>
          <t>KALMAR LÄN</t>
        </is>
      </c>
      <c r="G306" t="inlineStr">
        <is>
          <t>TORSÅS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46279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46279</v>
      </c>
      <c r="F308" t="inlineStr">
        <is>
          <t>KALMAR LÄN</t>
        </is>
      </c>
      <c r="G308" t="inlineStr">
        <is>
          <t>TORSÅS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46279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46279</v>
      </c>
      <c r="F310" t="inlineStr">
        <is>
          <t>KALMAR LÄN</t>
        </is>
      </c>
      <c r="G310" t="inlineStr">
        <is>
          <t>TORSÅS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46279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46279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46279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46279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44741</v>
      </c>
      <c r="E315" s="1" t="n">
        <v>46279</v>
      </c>
      <c r="F315" t="inlineStr">
        <is>
          <t>KALMAR LÄN</t>
        </is>
      </c>
      <c r="G315" t="inlineStr">
        <is>
          <t>TORSÅS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46279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46279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46279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46279</v>
      </c>
      <c r="F319" t="inlineStr">
        <is>
          <t>KALMAR LÄN</t>
        </is>
      </c>
      <c r="G319" t="inlineStr">
        <is>
          <t>TORSÅS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21577-2022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44706</v>
      </c>
      <c r="E320" s="1" t="n">
        <v>46279</v>
      </c>
      <c r="F320" t="inlineStr">
        <is>
          <t>KALMAR LÄN</t>
        </is>
      </c>
      <c r="G320" t="inlineStr">
        <is>
          <t>TORSÅS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55675-2021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44476</v>
      </c>
      <c r="E321" s="1" t="n">
        <v>46279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46279</v>
      </c>
      <c r="F322" t="inlineStr">
        <is>
          <t>KALMAR LÄN</t>
        </is>
      </c>
      <c r="G322" t="inlineStr">
        <is>
          <t>TORSÅS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39728-2024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45552</v>
      </c>
      <c r="E323" s="1" t="n">
        <v>46279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46279</v>
      </c>
      <c r="F324" t="inlineStr">
        <is>
          <t>KALMAR LÄN</t>
        </is>
      </c>
      <c r="G324" t="inlineStr">
        <is>
          <t>TORSÅS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46279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46279</v>
      </c>
      <c r="F326" t="inlineStr">
        <is>
          <t>KALMAR LÄN</t>
        </is>
      </c>
      <c r="G326" t="inlineStr">
        <is>
          <t>TORSÅS</t>
        </is>
      </c>
      <c r="I326" t="n">
        <v>19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46279</v>
      </c>
      <c r="F327" t="inlineStr">
        <is>
          <t>KALMAR LÄN</t>
        </is>
      </c>
      <c r="G327" t="inlineStr">
        <is>
          <t>TORSÅS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46279</v>
      </c>
      <c r="F328" t="inlineStr">
        <is>
          <t>KALMAR LÄN</t>
        </is>
      </c>
      <c r="G328" t="inlineStr">
        <is>
          <t>TORSÅS</t>
        </is>
      </c>
      <c r="H328" t="inlineStr">
        <is>
          <t>Övriga Aktiebolag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46279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46279</v>
      </c>
      <c r="F330" t="inlineStr">
        <is>
          <t>KALMAR LÄN</t>
        </is>
      </c>
      <c r="G330" t="inlineStr">
        <is>
          <t>TORSÅS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46279</v>
      </c>
      <c r="F331" t="inlineStr">
        <is>
          <t>KALMAR LÄN</t>
        </is>
      </c>
      <c r="G331" t="inlineStr">
        <is>
          <t>TORSÅS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46279</v>
      </c>
      <c r="F332" t="inlineStr">
        <is>
          <t>KALMAR LÄN</t>
        </is>
      </c>
      <c r="G332" t="inlineStr">
        <is>
          <t>TORSÅS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46279</v>
      </c>
      <c r="F333" t="inlineStr">
        <is>
          <t>KALMAR LÄN</t>
        </is>
      </c>
      <c r="G333" t="inlineStr">
        <is>
          <t>TORSÅS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45132</v>
      </c>
      <c r="E334" s="1" t="n">
        <v>46279</v>
      </c>
      <c r="F334" t="inlineStr">
        <is>
          <t>KALMAR LÄN</t>
        </is>
      </c>
      <c r="G334" t="inlineStr">
        <is>
          <t>TORSÅS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45362</v>
      </c>
      <c r="E335" s="1" t="n">
        <v>46279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46279</v>
      </c>
      <c r="F336" t="inlineStr">
        <is>
          <t>KALMAR LÄN</t>
        </is>
      </c>
      <c r="G336" t="inlineStr">
        <is>
          <t>TORSÅS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44879</v>
      </c>
      <c r="E337" s="1" t="n">
        <v>46279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46279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46279</v>
      </c>
      <c r="F339" t="inlineStr">
        <is>
          <t>KALMAR LÄN</t>
        </is>
      </c>
      <c r="G339" t="inlineStr">
        <is>
          <t>TORSÅS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46279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46279</v>
      </c>
      <c r="F341" t="inlineStr">
        <is>
          <t>KALMAR LÄN</t>
        </is>
      </c>
      <c r="G341" t="inlineStr">
        <is>
          <t>TORSÅS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46279</v>
      </c>
      <c r="F342" t="inlineStr">
        <is>
          <t>KALMAR LÄN</t>
        </is>
      </c>
      <c r="G342" t="inlineStr">
        <is>
          <t>TORSÅS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46279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46279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46246</v>
      </c>
      <c r="E345" s="1" t="n">
        <v>46279</v>
      </c>
      <c r="F345" t="inlineStr">
        <is>
          <t>KALMAR LÄN</t>
        </is>
      </c>
      <c r="G345" t="inlineStr">
        <is>
          <t>TORSÅS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44637</v>
      </c>
      <c r="E346" s="1" t="n">
        <v>46279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46279</v>
      </c>
      <c r="F347" t="inlineStr">
        <is>
          <t>KALMAR LÄN</t>
        </is>
      </c>
      <c r="G347" t="inlineStr">
        <is>
          <t>TORSÅS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44657</v>
      </c>
      <c r="E348" s="1" t="n">
        <v>46279</v>
      </c>
      <c r="F348" t="inlineStr">
        <is>
          <t>KALMAR LÄN</t>
        </is>
      </c>
      <c r="G348" t="inlineStr">
        <is>
          <t>TORSÅS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46279</v>
      </c>
      <c r="F349" t="inlineStr">
        <is>
          <t>KALMAR LÄN</t>
        </is>
      </c>
      <c r="G349" t="inlineStr">
        <is>
          <t>TORSÅS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46279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44792</v>
      </c>
      <c r="E351" s="1" t="n">
        <v>46279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46279</v>
      </c>
      <c r="F352" t="inlineStr">
        <is>
          <t>KALMAR LÄN</t>
        </is>
      </c>
      <c r="G352" t="inlineStr">
        <is>
          <t>TORSÅS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46279</v>
      </c>
      <c r="F353" t="inlineStr">
        <is>
          <t>KALMAR LÄN</t>
        </is>
      </c>
      <c r="G353" t="inlineStr">
        <is>
          <t>TORSÅS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46279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46279</v>
      </c>
      <c r="F355" t="inlineStr">
        <is>
          <t>KALMAR LÄN</t>
        </is>
      </c>
      <c r="G355" t="inlineStr">
        <is>
          <t>TORSÅS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46279</v>
      </c>
      <c r="F356" t="inlineStr">
        <is>
          <t>KALMAR LÄN</t>
        </is>
      </c>
      <c r="G356" t="inlineStr">
        <is>
          <t>TORSÅS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46279</v>
      </c>
      <c r="F357" t="inlineStr">
        <is>
          <t>KALMAR LÄN</t>
        </is>
      </c>
      <c r="G357" t="inlineStr">
        <is>
          <t>TORSÅS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46279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46279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46279</v>
      </c>
      <c r="F360" t="inlineStr">
        <is>
          <t>KALMAR LÄN</t>
        </is>
      </c>
      <c r="G360" t="inlineStr">
        <is>
          <t>TORSÅS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46279</v>
      </c>
      <c r="F361" t="inlineStr">
        <is>
          <t>KALMAR LÄN</t>
        </is>
      </c>
      <c r="G361" t="inlineStr">
        <is>
          <t>TORSÅS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66543-2021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44519</v>
      </c>
      <c r="E362" s="1" t="n">
        <v>46279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46279</v>
      </c>
      <c r="F363" t="inlineStr">
        <is>
          <t>KALMAR LÄN</t>
        </is>
      </c>
      <c r="G363" t="inlineStr">
        <is>
          <t>TORSÅS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46279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59284-2021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44490</v>
      </c>
      <c r="E365" s="1" t="n">
        <v>46279</v>
      </c>
      <c r="F365" t="inlineStr">
        <is>
          <t>KALMAR LÄN</t>
        </is>
      </c>
      <c r="G365" t="inlineStr">
        <is>
          <t>TORSÅS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45370</v>
      </c>
      <c r="E366" s="1" t="n">
        <v>46279</v>
      </c>
      <c r="F366" t="inlineStr">
        <is>
          <t>KALMAR LÄN</t>
        </is>
      </c>
      <c r="G366" t="inlineStr">
        <is>
          <t>TORSÅS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46279</v>
      </c>
      <c r="F367" t="inlineStr">
        <is>
          <t>KALMAR LÄN</t>
        </is>
      </c>
      <c r="G367" t="inlineStr">
        <is>
          <t>TORSÅS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46255</v>
      </c>
      <c r="E368" s="1" t="n">
        <v>46279</v>
      </c>
      <c r="F368" t="inlineStr">
        <is>
          <t>KALMAR LÄN</t>
        </is>
      </c>
      <c r="G368" t="inlineStr">
        <is>
          <t>TORSÅS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46279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45624</v>
      </c>
      <c r="E370" s="1" t="n">
        <v>46279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46279</v>
      </c>
      <c r="F371" t="inlineStr">
        <is>
          <t>KALMAR LÄN</t>
        </is>
      </c>
      <c r="G371" t="inlineStr">
        <is>
          <t>TORSÅS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46255</v>
      </c>
      <c r="E372" s="1" t="n">
        <v>46279</v>
      </c>
      <c r="F372" t="inlineStr">
        <is>
          <t>KALMAR LÄN</t>
        </is>
      </c>
      <c r="G372" t="inlineStr">
        <is>
          <t>TORSÅS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46279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46279</v>
      </c>
      <c r="F374" t="inlineStr">
        <is>
          <t>KALMAR LÄN</t>
        </is>
      </c>
      <c r="G374" t="inlineStr">
        <is>
          <t>TORSÅS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46217</v>
      </c>
      <c r="E375" s="1" t="n">
        <v>46279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46279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46279</v>
      </c>
      <c r="F377" t="inlineStr">
        <is>
          <t>KALMAR LÄN</t>
        </is>
      </c>
      <c r="G377" t="inlineStr">
        <is>
          <t>TORSÅS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46279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46218</v>
      </c>
      <c r="E379" s="1" t="n">
        <v>46279</v>
      </c>
      <c r="F379" t="inlineStr">
        <is>
          <t>KALMAR LÄN</t>
        </is>
      </c>
      <c r="G379" t="inlineStr">
        <is>
          <t>TORSÅS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46279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46279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46265</v>
      </c>
      <c r="E382" s="1" t="n">
        <v>46279</v>
      </c>
      <c r="F382" t="inlineStr">
        <is>
          <t>KALMAR LÄN</t>
        </is>
      </c>
      <c r="G382" t="inlineStr">
        <is>
          <t>TORSÅS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46279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46265</v>
      </c>
      <c r="E384" s="1" t="n">
        <v>46279</v>
      </c>
      <c r="F384" t="inlineStr">
        <is>
          <t>KALMAR LÄN</t>
        </is>
      </c>
      <c r="G384" t="inlineStr">
        <is>
          <t>TORSÅS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46279</v>
      </c>
      <c r="F385" t="inlineStr">
        <is>
          <t>KALMAR LÄN</t>
        </is>
      </c>
      <c r="G385" t="inlineStr">
        <is>
          <t>TORSÅS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46279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52072-2023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45223</v>
      </c>
      <c r="E387" s="1" t="n">
        <v>46279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46279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46279</v>
      </c>
      <c r="F389" t="inlineStr">
        <is>
          <t>KALMAR LÄN</t>
        </is>
      </c>
      <c r="G389" t="inlineStr">
        <is>
          <t>TORSÅS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46279</v>
      </c>
      <c r="F390" t="inlineStr">
        <is>
          <t>KALMAR LÄN</t>
        </is>
      </c>
      <c r="G390" t="inlineStr">
        <is>
          <t>TORSÅS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46279</v>
      </c>
      <c r="F391" t="inlineStr">
        <is>
          <t>KALMAR LÄN</t>
        </is>
      </c>
      <c r="G391" t="inlineStr">
        <is>
          <t>TORSÅS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45977</v>
      </c>
      <c r="E392" s="1" t="n">
        <v>46279</v>
      </c>
      <c r="F392" t="inlineStr">
        <is>
          <t>KALMAR LÄN</t>
        </is>
      </c>
      <c r="G392" t="inlineStr">
        <is>
          <t>TORSÅS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46279</v>
      </c>
      <c r="F393" t="inlineStr">
        <is>
          <t>KALMAR LÄN</t>
        </is>
      </c>
      <c r="G393" t="inlineStr">
        <is>
          <t>TORSÅS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46279</v>
      </c>
      <c r="F394" t="inlineStr">
        <is>
          <t>KALMAR LÄN</t>
        </is>
      </c>
      <c r="G394" t="inlineStr">
        <is>
          <t>TORSÅS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46279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46279</v>
      </c>
      <c r="F396" t="inlineStr">
        <is>
          <t>KALMAR LÄN</t>
        </is>
      </c>
      <c r="G396" t="inlineStr">
        <is>
          <t>TORSÅS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46272</v>
      </c>
      <c r="E397" s="1" t="n">
        <v>46279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46279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45518</v>
      </c>
      <c r="E399" s="1" t="n">
        <v>46279</v>
      </c>
      <c r="F399" t="inlineStr">
        <is>
          <t>KALMAR LÄN</t>
        </is>
      </c>
      <c r="G399" t="inlineStr">
        <is>
          <t>TORSÅS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45736</v>
      </c>
      <c r="E400" s="1" t="n">
        <v>46279</v>
      </c>
      <c r="F400" t="inlineStr">
        <is>
          <t>KALMAR LÄN</t>
        </is>
      </c>
      <c r="G400" t="inlineStr">
        <is>
          <t>TORSÅS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46279</v>
      </c>
      <c r="F401" t="inlineStr">
        <is>
          <t>KALMAR LÄN</t>
        </is>
      </c>
      <c r="G401" t="inlineStr">
        <is>
          <t>TORSÅS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16263-2024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45407</v>
      </c>
      <c r="E402" s="1" t="n">
        <v>46279</v>
      </c>
      <c r="F402" t="inlineStr">
        <is>
          <t>KALMAR LÄN</t>
        </is>
      </c>
      <c r="G402" t="inlineStr">
        <is>
          <t>TORSÅS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45208</v>
      </c>
      <c r="E403" s="1" t="n">
        <v>46279</v>
      </c>
      <c r="F403" t="inlineStr">
        <is>
          <t>KALMAR LÄN</t>
        </is>
      </c>
      <c r="G403" t="inlineStr">
        <is>
          <t>TORSÅS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46279</v>
      </c>
      <c r="F404" t="inlineStr">
        <is>
          <t>KALMAR LÄN</t>
        </is>
      </c>
      <c r="G404" t="inlineStr">
        <is>
          <t>TORSÅS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46279</v>
      </c>
      <c r="F405" t="inlineStr">
        <is>
          <t>KALMAR LÄN</t>
        </is>
      </c>
      <c r="G405" t="inlineStr">
        <is>
          <t>TORSÅS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45001</v>
      </c>
      <c r="E406" s="1" t="n">
        <v>46279</v>
      </c>
      <c r="F406" t="inlineStr">
        <is>
          <t>KALMAR LÄN</t>
        </is>
      </c>
      <c r="G406" t="inlineStr">
        <is>
          <t>TORSÅS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46279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46279</v>
      </c>
      <c r="F408" t="inlineStr">
        <is>
          <t>KALMAR LÄN</t>
        </is>
      </c>
      <c r="G408" t="inlineStr">
        <is>
          <t>TORSÅS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45054</v>
      </c>
      <c r="E409" s="1" t="n">
        <v>46279</v>
      </c>
      <c r="F409" t="inlineStr">
        <is>
          <t>KALMAR LÄN</t>
        </is>
      </c>
      <c r="G409" t="inlineStr">
        <is>
          <t>TORSÅS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46279</v>
      </c>
      <c r="F410" t="inlineStr">
        <is>
          <t>KALMAR LÄN</t>
        </is>
      </c>
      <c r="G410" t="inlineStr">
        <is>
          <t>TORSÅS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45770</v>
      </c>
      <c r="E411" s="1" t="n">
        <v>46279</v>
      </c>
      <c r="F411" t="inlineStr">
        <is>
          <t>KALMAR LÄN</t>
        </is>
      </c>
      <c r="G411" t="inlineStr">
        <is>
          <t>TORSÅS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46279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45408</v>
      </c>
      <c r="E413" s="1" t="n">
        <v>46279</v>
      </c>
      <c r="F413" t="inlineStr">
        <is>
          <t>KALMAR LÄN</t>
        </is>
      </c>
      <c r="G413" t="inlineStr">
        <is>
          <t>TORSÅS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46626-2024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45583</v>
      </c>
      <c r="E414" s="1" t="n">
        <v>46279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46279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46279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46279</v>
      </c>
      <c r="F417" t="inlineStr">
        <is>
          <t>KALMAR LÄN</t>
        </is>
      </c>
      <c r="G417" t="inlineStr">
        <is>
          <t>TORSÅS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46279</v>
      </c>
      <c r="F418" t="inlineStr">
        <is>
          <t>KALMAR LÄN</t>
        </is>
      </c>
      <c r="G418" t="inlineStr">
        <is>
          <t>TORSÅS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46279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46279</v>
      </c>
      <c r="F420" t="inlineStr">
        <is>
          <t>KALMAR LÄN</t>
        </is>
      </c>
      <c r="G420" t="inlineStr">
        <is>
          <t>TORSÅS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46279</v>
      </c>
      <c r="F421" t="inlineStr">
        <is>
          <t>KALMAR LÄN</t>
        </is>
      </c>
      <c r="G421" t="inlineStr">
        <is>
          <t>TORSÅS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46279</v>
      </c>
      <c r="F422" t="inlineStr">
        <is>
          <t>KALMAR LÄN</t>
        </is>
      </c>
      <c r="G422" t="inlineStr">
        <is>
          <t>TORSÅS</t>
        </is>
      </c>
      <c r="I422" t="n">
        <v>7.3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45785</v>
      </c>
      <c r="E423" s="1" t="n">
        <v>46279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45645</v>
      </c>
      <c r="E424" s="1" t="n">
        <v>46279</v>
      </c>
      <c r="F424" t="inlineStr">
        <is>
          <t>KALMAR LÄN</t>
        </is>
      </c>
      <c r="G424" t="inlineStr">
        <is>
          <t>TORSÅS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44679</v>
      </c>
      <c r="E425" s="1" t="n">
        <v>46279</v>
      </c>
      <c r="F425" t="inlineStr">
        <is>
          <t>KALMAR LÄN</t>
        </is>
      </c>
      <c r="G425" t="inlineStr">
        <is>
          <t>TORSÅS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45330</v>
      </c>
      <c r="E426" s="1" t="n">
        <v>46279</v>
      </c>
      <c r="F426" t="inlineStr">
        <is>
          <t>KALMAR LÄN</t>
        </is>
      </c>
      <c r="G426" t="inlineStr">
        <is>
          <t>TORSÅS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46279</v>
      </c>
      <c r="F427" t="inlineStr">
        <is>
          <t>KALMAR LÄN</t>
        </is>
      </c>
      <c r="G427" t="inlineStr">
        <is>
          <t>TORSÅS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46279</v>
      </c>
      <c r="F428" t="inlineStr">
        <is>
          <t>KALMAR LÄN</t>
        </is>
      </c>
      <c r="G428" t="inlineStr">
        <is>
          <t>TORSÅS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45798</v>
      </c>
      <c r="E429" s="1" t="n">
        <v>46279</v>
      </c>
      <c r="F429" t="inlineStr">
        <is>
          <t>KALMAR LÄN</t>
        </is>
      </c>
      <c r="G429" t="inlineStr">
        <is>
          <t>TORSÅS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46279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39306-2024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46279</v>
      </c>
      <c r="F431" t="inlineStr">
        <is>
          <t>KALMAR LÄN</t>
        </is>
      </c>
      <c r="G431" t="inlineStr">
        <is>
          <t>TORSÅS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46279</v>
      </c>
      <c r="F432" t="inlineStr">
        <is>
          <t>KALMAR LÄN</t>
        </is>
      </c>
      <c r="G432" t="inlineStr">
        <is>
          <t>TORSÅS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46279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46279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46279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46279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46279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2489-2024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45471</v>
      </c>
      <c r="E438" s="1" t="n">
        <v>46279</v>
      </c>
      <c r="F438" t="inlineStr">
        <is>
          <t>KALMAR LÄN</t>
        </is>
      </c>
      <c r="G438" t="inlineStr">
        <is>
          <t>TORSÅS</t>
        </is>
      </c>
      <c r="I438" t="n">
        <v>18.2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46279</v>
      </c>
      <c r="F439" t="inlineStr">
        <is>
          <t>KALMAR LÄN</t>
        </is>
      </c>
      <c r="G439" t="inlineStr">
        <is>
          <t>TORSÅS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46279</v>
      </c>
      <c r="F440" t="inlineStr">
        <is>
          <t>KALMAR LÄN</t>
        </is>
      </c>
      <c r="G440" t="inlineStr">
        <is>
          <t>TORSÅS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3767-2024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45558</v>
      </c>
      <c r="E441" s="1" t="n">
        <v>46279</v>
      </c>
      <c r="F441" t="inlineStr">
        <is>
          <t>KALMAR LÄN</t>
        </is>
      </c>
      <c r="G441" t="inlineStr">
        <is>
          <t>TORSÅS</t>
        </is>
      </c>
      <c r="I441" t="n">
        <v>19.8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46279</v>
      </c>
      <c r="F442" t="inlineStr">
        <is>
          <t>KALMAR LÄN</t>
        </is>
      </c>
      <c r="G442" t="inlineStr">
        <is>
          <t>TORSÅS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7089-2021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44462</v>
      </c>
      <c r="E443" s="1" t="n">
        <v>46279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45330</v>
      </c>
      <c r="E444" s="1" t="n">
        <v>46279</v>
      </c>
      <c r="F444" t="inlineStr">
        <is>
          <t>KALMAR LÄN</t>
        </is>
      </c>
      <c r="G444" t="inlineStr">
        <is>
          <t>TORSÅS</t>
        </is>
      </c>
      <c r="I444" t="n">
        <v>33.3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871-2024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45373</v>
      </c>
      <c r="E445" s="1" t="n">
        <v>46279</v>
      </c>
      <c r="F445" t="inlineStr">
        <is>
          <t>KALMAR LÄN</t>
        </is>
      </c>
      <c r="G445" t="inlineStr">
        <is>
          <t>TORSÅS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1059-2024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45387</v>
      </c>
      <c r="E446" s="1" t="n">
        <v>46279</v>
      </c>
      <c r="F446" t="inlineStr">
        <is>
          <t>KALMAR LÄN</t>
        </is>
      </c>
      <c r="G446" t="inlineStr">
        <is>
          <t>TORSÅS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46279</v>
      </c>
      <c r="F447" t="inlineStr">
        <is>
          <t>KALMAR LÄN</t>
        </is>
      </c>
      <c r="G447" t="inlineStr">
        <is>
          <t>TORSÅS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46279</v>
      </c>
      <c r="F448" t="inlineStr">
        <is>
          <t>KALMAR LÄN</t>
        </is>
      </c>
      <c r="G448" t="inlineStr">
        <is>
          <t>TORSÅS</t>
        </is>
      </c>
      <c r="I448" t="n">
        <v>35.5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297-2025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45687</v>
      </c>
      <c r="E449" s="1" t="n">
        <v>46279</v>
      </c>
      <c r="F449" t="inlineStr">
        <is>
          <t>KALMAR LÄN</t>
        </is>
      </c>
      <c r="G449" t="inlineStr">
        <is>
          <t>TORSÅS</t>
        </is>
      </c>
      <c r="I449" t="n">
        <v>31.5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46279</v>
      </c>
      <c r="F450" t="inlineStr">
        <is>
          <t>KALMAR LÄN</t>
        </is>
      </c>
      <c r="G450" t="inlineStr">
        <is>
          <t>TORSÅS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56-2023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44928</v>
      </c>
      <c r="E451" s="1" t="n">
        <v>46279</v>
      </c>
      <c r="F451" t="inlineStr">
        <is>
          <t>KALMAR LÄN</t>
        </is>
      </c>
      <c r="G451" t="inlineStr">
        <is>
          <t>TORSÅS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598-2023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44971</v>
      </c>
      <c r="E452" s="1" t="n">
        <v>46279</v>
      </c>
      <c r="F452" t="inlineStr">
        <is>
          <t>KALMAR LÄN</t>
        </is>
      </c>
      <c r="G452" t="inlineStr">
        <is>
          <t>TORSÅS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1847-2024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46279</v>
      </c>
      <c r="F453" t="inlineStr">
        <is>
          <t>KALMAR LÄN</t>
        </is>
      </c>
      <c r="G453" t="inlineStr">
        <is>
          <t>TORSÅS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1526-2025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46279</v>
      </c>
      <c r="F454" t="inlineStr">
        <is>
          <t>KALMAR LÄN</t>
        </is>
      </c>
      <c r="G454" t="inlineStr">
        <is>
          <t>TORSÅS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1524-2025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46279</v>
      </c>
      <c r="F455" t="inlineStr">
        <is>
          <t>KALMAR LÄN</t>
        </is>
      </c>
      <c r="G455" t="inlineStr">
        <is>
          <t>TORSÅS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1525-2025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46279</v>
      </c>
      <c r="F456" t="inlineStr">
        <is>
          <t>KALMAR LÄN</t>
        </is>
      </c>
      <c r="G456" t="inlineStr">
        <is>
          <t>TORSÅS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2026-09-14T02:16:47Z</dcterms:created>
  <dcterms:modified xmlns:dcterms="http://purl.org/dc/terms/" xmlns:xsi="http://www.w3.org/2001/XMLSchema-instance" xsi:type="dcterms:W3CDTF">2026-09-14T02:16:48Z</dcterms:modified>
</cp:coreProperties>
</file>