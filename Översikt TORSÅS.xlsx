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46286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46286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46286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46286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46286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46286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46286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46286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46286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46286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46286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46286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46286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46286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46286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46286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46286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46286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46286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46286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46286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46286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46286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46286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24157-2023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45079</v>
      </c>
      <c r="E31" s="1" t="n">
        <v>46286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Grovticka</t>
        </is>
      </c>
      <c r="W31">
        <f>HYPERLINK("https://klasma.github.io/Logging_0834/artfynd/A 24157-2023 artfynd.xlsx", "A 24157-2023")</f>
        <v/>
      </c>
      <c r="X31">
        <f>HYPERLINK("https://klasma.github.io/Logging_0834/kartor/A 24157-2023 karta.png", "A 24157-2023")</f>
        <v/>
      </c>
      <c r="Y31">
        <f>HYPERLINK("https://klasma.github.io/Logging_0834/kartor_geotiff/A 24157-2023 georefererad karta.tif", "A 24157-2023")</f>
        <v/>
      </c>
      <c r="AA31">
        <f>HYPERLINK("https://klasma.github.io/Logging_0834/klagomål/A 24157-2023 FSC-klagomål.docx", "A 24157-2023")</f>
        <v/>
      </c>
      <c r="AB31">
        <f>HYPERLINK("https://klasma.github.io/Logging_0834/klagomålsmail/A 24157-2023 FSC-klagomål mail.docx", "A 24157-2023")</f>
        <v/>
      </c>
      <c r="AC31">
        <f>HYPERLINK("https://klasma.github.io/Logging_0834/tillsyn/A 24157-2023 tillsynsbegäran.docx", "A 24157-2023")</f>
        <v/>
      </c>
      <c r="AD31">
        <f>HYPERLINK("https://klasma.github.io/Logging_0834/tillsynsmail/A 24157-2023 tillsynsbegäran mail.docx", "A 24157-2023")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46286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46286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46286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HYPERLINK("https://klasma.github.io/Logging_0834/artfynd/A 24513-2026 artfynd.xlsx", "A 24513-2026")</f>
        <v/>
      </c>
      <c r="X34">
        <f>HYPERLINK("https://klasma.github.io/Logging_0834/kartor/A 24513-2026 karta.png", "A 24513-2026")</f>
        <v/>
      </c>
      <c r="Y34">
        <f>HYPERLINK("https://klasma.github.io/Logging_0834/kartor_geotiff/A 24513-2026 georefererad karta.tif", "A 24513-2026")</f>
        <v/>
      </c>
      <c r="AA34">
        <f>HYPERLINK("https://klasma.github.io/Logging_0834/klagomål/A 24513-2026 FSC-klagomål.docx", "A 24513-2026")</f>
        <v/>
      </c>
      <c r="AB34">
        <f>HYPERLINK("https://klasma.github.io/Logging_0834/klagomålsmail/A 24513-2026 FSC-klagomål mail.docx", "A 24513-2026")</f>
        <v/>
      </c>
      <c r="AC34">
        <f>HYPERLINK("https://klasma.github.io/Logging_0834/tillsyn/A 24513-2026 tillsynsbegäran.docx", "A 24513-2026")</f>
        <v/>
      </c>
      <c r="AD34">
        <f>HYPERLINK("https://klasma.github.io/Logging_0834/tillsynsmail/A 24513-2026 tillsynsbegäran mail.docx", "A 24513-2026")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46286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2132-2025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45672</v>
      </c>
      <c r="E36" s="1" t="n">
        <v>46286</v>
      </c>
      <c r="F36" t="inlineStr">
        <is>
          <t>KALMAR LÄN</t>
        </is>
      </c>
      <c r="G36" t="inlineStr">
        <is>
          <t>TORSÅS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Krusfrö</t>
        </is>
      </c>
      <c r="W36">
        <f>HYPERLINK("https://klasma.github.io/Logging_0834/artfynd/A 2132-2025 artfynd.xlsx", "A 2132-2025")</f>
        <v/>
      </c>
      <c r="X36">
        <f>HYPERLINK("https://klasma.github.io/Logging_0834/kartor/A 2132-2025 karta.png", "A 2132-2025")</f>
        <v/>
      </c>
      <c r="Y36">
        <f>HYPERLINK("https://klasma.github.io/Logging_0834/kartor_geotiff/A 2132-2025 georefererad karta.tif", "A 2132-2025")</f>
        <v/>
      </c>
      <c r="AA36">
        <f>HYPERLINK("https://klasma.github.io/Logging_0834/klagomål/A 2132-2025 FSC-klagomål.docx", "A 2132-2025")</f>
        <v/>
      </c>
      <c r="AB36">
        <f>HYPERLINK("https://klasma.github.io/Logging_0834/klagomålsmail/A 2132-2025 FSC-klagomål mail.docx", "A 2132-2025")</f>
        <v/>
      </c>
      <c r="AC36">
        <f>HYPERLINK("https://klasma.github.io/Logging_0834/tillsyn/A 2132-2025 tillsynsbegäran.docx", "A 2132-2025")</f>
        <v/>
      </c>
      <c r="AD36">
        <f>HYPERLINK("https://klasma.github.io/Logging_0834/tillsynsmail/A 2132-2025 tillsynsbegäran mail.docx", "A 2132-2025")</f>
        <v/>
      </c>
    </row>
    <row r="37" ht="15" customHeight="1">
      <c r="A37" t="inlineStr">
        <is>
          <t>A 11606-2026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46084</v>
      </c>
      <c r="E37" s="1" t="n">
        <v>46286</v>
      </c>
      <c r="F37" t="inlineStr">
        <is>
          <t>KALMAR LÄN</t>
        </is>
      </c>
      <c r="G37" t="inlineStr">
        <is>
          <t>TORSÅS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HYPERLINK("https://klasma.github.io/Logging_0834/artfynd/A 11606-2026 artfynd.xlsx", "A 11606-2026")</f>
        <v/>
      </c>
      <c r="X37">
        <f>HYPERLINK("https://klasma.github.io/Logging_0834/kartor/A 11606-2026 karta.png", "A 11606-2026")</f>
        <v/>
      </c>
      <c r="Y37">
        <f>HYPERLINK("https://klasma.github.io/Logging_0834/kartor_geotiff/A 11606-2026 georefererad karta.tif", "A 11606-2026")</f>
        <v/>
      </c>
      <c r="AA37">
        <f>HYPERLINK("https://klasma.github.io/Logging_0834/klagomål/A 11606-2026 FSC-klagomål.docx", "A 11606-2026")</f>
        <v/>
      </c>
      <c r="AB37">
        <f>HYPERLINK("https://klasma.github.io/Logging_0834/klagomålsmail/A 11606-2026 FSC-klagomål mail.docx", "A 11606-2026")</f>
        <v/>
      </c>
      <c r="AC37">
        <f>HYPERLINK("https://klasma.github.io/Logging_0834/tillsyn/A 11606-2026 tillsynsbegäran.docx", "A 11606-2026")</f>
        <v/>
      </c>
      <c r="AD37">
        <f>HYPERLINK("https://klasma.github.io/Logging_0834/tillsynsmail/A 11606-2026 tillsynsbegäran mail.docx", "A 11606-2026")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46286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46286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46286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46286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46286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46286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HYPERLINK("https://klasma.github.io/Logging_0834/artfynd/A 44226-2024 artfynd.xlsx", "A 44226-2024")</f>
        <v/>
      </c>
      <c r="X43">
        <f>HYPERLINK("https://klasma.github.io/Logging_0834/kartor/A 44226-2024 karta.png", "A 44226-2024")</f>
        <v/>
      </c>
      <c r="Y43">
        <f>HYPERLINK("https://klasma.github.io/Logging_0834/kartor_geotiff/A 44226-2024 georefererad karta.tif", "A 44226-2024")</f>
        <v/>
      </c>
      <c r="AA43">
        <f>HYPERLINK("https://klasma.github.io/Logging_0834/klagomål/A 44226-2024 FSC-klagomål.docx", "A 44226-2024")</f>
        <v/>
      </c>
      <c r="AB43">
        <f>HYPERLINK("https://klasma.github.io/Logging_0834/klagomålsmail/A 44226-2024 FSC-klagomål mail.docx", "A 44226-2024")</f>
        <v/>
      </c>
      <c r="AC43">
        <f>HYPERLINK("https://klasma.github.io/Logging_0834/tillsyn/A 44226-2024 tillsynsbegäran.docx", "A 44226-2024")</f>
        <v/>
      </c>
      <c r="AD43">
        <f>HYPERLINK("https://klasma.github.io/Logging_0834/tillsynsmail/A 44226-2024 tillsynsbegäran mail.docx", "A 44226-2024")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46286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46286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46286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46286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46286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46286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46286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46286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46286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46286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46286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46286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46286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46286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46286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46286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46286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46286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46286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46286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46286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46286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46286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46286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52886-2021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46286</v>
      </c>
      <c r="F68" t="inlineStr">
        <is>
          <t>KALMAR LÄN</t>
        </is>
      </c>
      <c r="G68" t="inlineStr">
        <is>
          <t>TORSÅS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46286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46286</v>
      </c>
      <c r="F70" t="inlineStr">
        <is>
          <t>KALMAR LÄN</t>
        </is>
      </c>
      <c r="G70" t="inlineStr">
        <is>
          <t>TORSÅS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46286</v>
      </c>
      <c r="F71" t="inlineStr">
        <is>
          <t>KALMAR LÄN</t>
        </is>
      </c>
      <c r="G71" t="inlineStr">
        <is>
          <t>TORSÅS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46286</v>
      </c>
      <c r="F72" t="inlineStr">
        <is>
          <t>KALMAR LÄN</t>
        </is>
      </c>
      <c r="G72" t="inlineStr">
        <is>
          <t>TORSÅS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52470-2021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46286</v>
      </c>
      <c r="F73" t="inlineStr">
        <is>
          <t>KALMAR LÄN</t>
        </is>
      </c>
      <c r="G73" t="inlineStr">
        <is>
          <t>TORSÅS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55288-2021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44475</v>
      </c>
      <c r="E74" s="1" t="n">
        <v>46286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46286</v>
      </c>
      <c r="F75" t="inlineStr">
        <is>
          <t>KALMAR LÄN</t>
        </is>
      </c>
      <c r="G75" t="inlineStr">
        <is>
          <t>TORSÅS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44514</v>
      </c>
      <c r="E76" s="1" t="n">
        <v>46286</v>
      </c>
      <c r="F76" t="inlineStr">
        <is>
          <t>KALMAR LÄN</t>
        </is>
      </c>
      <c r="G76" t="inlineStr">
        <is>
          <t>TORSÅS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69679-2021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46286</v>
      </c>
      <c r="F77" t="inlineStr">
        <is>
          <t>KALMAR LÄN</t>
        </is>
      </c>
      <c r="G77" t="inlineStr">
        <is>
          <t>TORSÅS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46286</v>
      </c>
      <c r="F78" t="inlineStr">
        <is>
          <t>KALMAR LÄN</t>
        </is>
      </c>
      <c r="G78" t="inlineStr">
        <is>
          <t>TORSÅS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46286</v>
      </c>
      <c r="F79" t="inlineStr">
        <is>
          <t>KALMAR LÄN</t>
        </is>
      </c>
      <c r="G79" t="inlineStr">
        <is>
          <t>TORSÅS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46286</v>
      </c>
      <c r="F80" t="inlineStr">
        <is>
          <t>KALMAR LÄN</t>
        </is>
      </c>
      <c r="G80" t="inlineStr">
        <is>
          <t>TORSÅS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46286</v>
      </c>
      <c r="F81" t="inlineStr">
        <is>
          <t>KALMAR LÄN</t>
        </is>
      </c>
      <c r="G81" t="inlineStr">
        <is>
          <t>TORSÅS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44652</v>
      </c>
      <c r="E82" s="1" t="n">
        <v>46286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46286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44599</v>
      </c>
      <c r="E84" s="1" t="n">
        <v>46286</v>
      </c>
      <c r="F84" t="inlineStr">
        <is>
          <t>KALMAR LÄN</t>
        </is>
      </c>
      <c r="G84" t="inlineStr">
        <is>
          <t>TORSÅS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46286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46286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46286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46286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46286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46286</v>
      </c>
      <c r="F90" t="inlineStr">
        <is>
          <t>KALMAR LÄN</t>
        </is>
      </c>
      <c r="G90" t="inlineStr">
        <is>
          <t>TORSÅS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46286</v>
      </c>
      <c r="F91" t="inlineStr">
        <is>
          <t>KALMAR LÄN</t>
        </is>
      </c>
      <c r="G91" t="inlineStr">
        <is>
          <t>TORSÅS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44580</v>
      </c>
      <c r="E92" s="1" t="n">
        <v>46286</v>
      </c>
      <c r="F92" t="inlineStr">
        <is>
          <t>KALMAR LÄN</t>
        </is>
      </c>
      <c r="G92" t="inlineStr">
        <is>
          <t>TORSÅS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28592-2022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44748</v>
      </c>
      <c r="E93" s="1" t="n">
        <v>46286</v>
      </c>
      <c r="F93" t="inlineStr">
        <is>
          <t>KALMAR LÄN</t>
        </is>
      </c>
      <c r="G93" t="inlineStr">
        <is>
          <t>TORSÅS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46286</v>
      </c>
      <c r="F94" t="inlineStr">
        <is>
          <t>KALMAR LÄN</t>
        </is>
      </c>
      <c r="G94" t="inlineStr">
        <is>
          <t>TORSÅS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46286</v>
      </c>
      <c r="F95" t="inlineStr">
        <is>
          <t>KALMAR LÄN</t>
        </is>
      </c>
      <c r="G95" t="inlineStr">
        <is>
          <t>TORSÅS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46286</v>
      </c>
      <c r="F96" t="inlineStr">
        <is>
          <t>KALMAR LÄN</t>
        </is>
      </c>
      <c r="G96" t="inlineStr">
        <is>
          <t>TORSÅS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44849</v>
      </c>
      <c r="E97" s="1" t="n">
        <v>46286</v>
      </c>
      <c r="F97" t="inlineStr">
        <is>
          <t>KALMAR LÄN</t>
        </is>
      </c>
      <c r="G97" t="inlineStr">
        <is>
          <t>TORSÅS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46286</v>
      </c>
      <c r="F98" t="inlineStr">
        <is>
          <t>KALMAR LÄN</t>
        </is>
      </c>
      <c r="G98" t="inlineStr">
        <is>
          <t>TORSÅS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45362</v>
      </c>
      <c r="E99" s="1" t="n">
        <v>46286</v>
      </c>
      <c r="F99" t="inlineStr">
        <is>
          <t>KALMAR LÄN</t>
        </is>
      </c>
      <c r="G99" t="inlineStr">
        <is>
          <t>TORSÅS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46286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46286</v>
      </c>
      <c r="F101" t="inlineStr">
        <is>
          <t>KALMAR LÄN</t>
        </is>
      </c>
      <c r="G101" t="inlineStr">
        <is>
          <t>TORSÅS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46286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46286</v>
      </c>
      <c r="F103" t="inlineStr">
        <is>
          <t>KALMAR LÄN</t>
        </is>
      </c>
      <c r="G103" t="inlineStr">
        <is>
          <t>TORSÅS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44949</v>
      </c>
      <c r="E104" s="1" t="n">
        <v>46286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44763</v>
      </c>
      <c r="E105" s="1" t="n">
        <v>46286</v>
      </c>
      <c r="F105" t="inlineStr">
        <is>
          <t>KALMAR LÄN</t>
        </is>
      </c>
      <c r="G105" t="inlineStr">
        <is>
          <t>TORSÅS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37551-2023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46286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46286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46286</v>
      </c>
      <c r="F108" t="inlineStr">
        <is>
          <t>KALMAR LÄN</t>
        </is>
      </c>
      <c r="G108" t="inlineStr">
        <is>
          <t>TORSÅS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46286</v>
      </c>
      <c r="F109" t="inlineStr">
        <is>
          <t>KALMAR LÄN</t>
        </is>
      </c>
      <c r="G109" t="inlineStr">
        <is>
          <t>TORSÅS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46286</v>
      </c>
      <c r="F110" t="inlineStr">
        <is>
          <t>KALMAR LÄN</t>
        </is>
      </c>
      <c r="G110" t="inlineStr">
        <is>
          <t>TORSÅS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44792</v>
      </c>
      <c r="E111" s="1" t="n">
        <v>46286</v>
      </c>
      <c r="F111" t="inlineStr">
        <is>
          <t>KALMAR LÄN</t>
        </is>
      </c>
      <c r="G111" t="inlineStr">
        <is>
          <t>TORSÅS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46286</v>
      </c>
      <c r="F112" t="inlineStr">
        <is>
          <t>KALMAR LÄN</t>
        </is>
      </c>
      <c r="G112" t="inlineStr">
        <is>
          <t>TORSÅS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46286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65159-2023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45288</v>
      </c>
      <c r="E114" s="1" t="n">
        <v>46286</v>
      </c>
      <c r="F114" t="inlineStr">
        <is>
          <t>KALMAR LÄN</t>
        </is>
      </c>
      <c r="G114" t="inlineStr">
        <is>
          <t>TORSÅS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46286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46286</v>
      </c>
      <c r="F116" t="inlineStr">
        <is>
          <t>KALMAR LÄN</t>
        </is>
      </c>
      <c r="G116" t="inlineStr">
        <is>
          <t>TORSÅS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46286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46286</v>
      </c>
      <c r="F118" t="inlineStr">
        <is>
          <t>KALMAR LÄN</t>
        </is>
      </c>
      <c r="G118" t="inlineStr">
        <is>
          <t>TORSÅS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46286</v>
      </c>
      <c r="F119" t="inlineStr">
        <is>
          <t>KALMAR LÄN</t>
        </is>
      </c>
      <c r="G119" t="inlineStr">
        <is>
          <t>TORSÅS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46286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46286</v>
      </c>
      <c r="F121" t="inlineStr">
        <is>
          <t>KALMAR LÄN</t>
        </is>
      </c>
      <c r="G121" t="inlineStr">
        <is>
          <t>TORSÅS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46286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46286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44683</v>
      </c>
      <c r="E124" s="1" t="n">
        <v>46286</v>
      </c>
      <c r="F124" t="inlineStr">
        <is>
          <t>KALMAR LÄN</t>
        </is>
      </c>
      <c r="G124" t="inlineStr">
        <is>
          <t>TORSÅS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46286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46286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45327</v>
      </c>
      <c r="E127" s="1" t="n">
        <v>46286</v>
      </c>
      <c r="F127" t="inlineStr">
        <is>
          <t>KALMAR LÄN</t>
        </is>
      </c>
      <c r="G127" t="inlineStr">
        <is>
          <t>TORSÅS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46286</v>
      </c>
      <c r="F128" t="inlineStr">
        <is>
          <t>KALMAR LÄN</t>
        </is>
      </c>
      <c r="G128" t="inlineStr">
        <is>
          <t>TORSÅS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46286</v>
      </c>
      <c r="F129" t="inlineStr">
        <is>
          <t>KALMAR LÄN</t>
        </is>
      </c>
      <c r="G129" t="inlineStr">
        <is>
          <t>TORSÅS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46286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46286</v>
      </c>
      <c r="F131" t="inlineStr">
        <is>
          <t>KALMAR LÄN</t>
        </is>
      </c>
      <c r="G131" t="inlineStr">
        <is>
          <t>TORSÅS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44987</v>
      </c>
      <c r="E132" s="1" t="n">
        <v>46286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44593</v>
      </c>
      <c r="E133" s="1" t="n">
        <v>46286</v>
      </c>
      <c r="F133" t="inlineStr">
        <is>
          <t>KALMAR LÄN</t>
        </is>
      </c>
      <c r="G133" t="inlineStr">
        <is>
          <t>TORSÅS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46286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46286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46286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43066-2024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45567</v>
      </c>
      <c r="E137" s="1" t="n">
        <v>46286</v>
      </c>
      <c r="F137" t="inlineStr">
        <is>
          <t>KALMAR LÄN</t>
        </is>
      </c>
      <c r="G137" t="inlineStr">
        <is>
          <t>TORSÅS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46286</v>
      </c>
      <c r="F138" t="inlineStr">
        <is>
          <t>KALMAR LÄN</t>
        </is>
      </c>
      <c r="G138" t="inlineStr">
        <is>
          <t>TORSÅS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46286</v>
      </c>
      <c r="F139" t="inlineStr">
        <is>
          <t>KALMAR LÄN</t>
        </is>
      </c>
      <c r="G139" t="inlineStr">
        <is>
          <t>TORSÅS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46286</v>
      </c>
      <c r="F140" t="inlineStr">
        <is>
          <t>KALMAR LÄN</t>
        </is>
      </c>
      <c r="G140" t="inlineStr">
        <is>
          <t>TORSÅS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46286</v>
      </c>
      <c r="F141" t="inlineStr">
        <is>
          <t>KALMAR LÄN</t>
        </is>
      </c>
      <c r="G141" t="inlineStr">
        <is>
          <t>TORSÅS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46286</v>
      </c>
      <c r="F142" t="inlineStr">
        <is>
          <t>KALMAR LÄN</t>
        </is>
      </c>
      <c r="G142" t="inlineStr">
        <is>
          <t>TORSÅS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46286</v>
      </c>
      <c r="F143" t="inlineStr">
        <is>
          <t>KALMAR LÄN</t>
        </is>
      </c>
      <c r="G143" t="inlineStr">
        <is>
          <t>TORSÅS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46286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46286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45695</v>
      </c>
      <c r="E146" s="1" t="n">
        <v>46286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46286</v>
      </c>
      <c r="F147" t="inlineStr">
        <is>
          <t>KALMAR LÄN</t>
        </is>
      </c>
      <c r="G147" t="inlineStr">
        <is>
          <t>TORSÅS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46286</v>
      </c>
      <c r="F148" t="inlineStr">
        <is>
          <t>KALMAR LÄN</t>
        </is>
      </c>
      <c r="G148" t="inlineStr">
        <is>
          <t>TORSÅS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35708-2024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45532</v>
      </c>
      <c r="E149" s="1" t="n">
        <v>46286</v>
      </c>
      <c r="F149" t="inlineStr">
        <is>
          <t>KALMAR LÄN</t>
        </is>
      </c>
      <c r="G149" t="inlineStr">
        <is>
          <t>TORSÅS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44861</v>
      </c>
      <c r="E150" s="1" t="n">
        <v>46286</v>
      </c>
      <c r="F150" t="inlineStr">
        <is>
          <t>KALMAR LÄN</t>
        </is>
      </c>
      <c r="G150" t="inlineStr">
        <is>
          <t>TORSÅS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65651-2021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44516</v>
      </c>
      <c r="E151" s="1" t="n">
        <v>46286</v>
      </c>
      <c r="F151" t="inlineStr">
        <is>
          <t>KALMAR LÄN</t>
        </is>
      </c>
      <c r="G151" t="inlineStr">
        <is>
          <t>TORSÅS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45063</v>
      </c>
      <c r="E152" s="1" t="n">
        <v>46286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46286</v>
      </c>
      <c r="F153" t="inlineStr">
        <is>
          <t>KALMAR LÄN</t>
        </is>
      </c>
      <c r="G153" t="inlineStr">
        <is>
          <t>TORSÅS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46286</v>
      </c>
      <c r="F154" t="inlineStr">
        <is>
          <t>KALMAR LÄN</t>
        </is>
      </c>
      <c r="G154" t="inlineStr">
        <is>
          <t>TORSÅS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46286</v>
      </c>
      <c r="F155" t="inlineStr">
        <is>
          <t>KALMAR LÄN</t>
        </is>
      </c>
      <c r="G155" t="inlineStr">
        <is>
          <t>TORSÅS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46286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46286</v>
      </c>
      <c r="F157" t="inlineStr">
        <is>
          <t>KALMAR LÄN</t>
        </is>
      </c>
      <c r="G157" t="inlineStr">
        <is>
          <t>TORSÅS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46286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46286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44741</v>
      </c>
      <c r="E160" s="1" t="n">
        <v>46286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46286</v>
      </c>
      <c r="F161" t="inlineStr">
        <is>
          <t>KALMAR LÄN</t>
        </is>
      </c>
      <c r="G161" t="inlineStr">
        <is>
          <t>TORSÅS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46286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46286</v>
      </c>
      <c r="F163" t="inlineStr">
        <is>
          <t>KALMAR LÄN</t>
        </is>
      </c>
      <c r="G163" t="inlineStr">
        <is>
          <t>TORSÅS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45225</v>
      </c>
      <c r="E164" s="1" t="n">
        <v>46286</v>
      </c>
      <c r="F164" t="inlineStr">
        <is>
          <t>KALMAR LÄN</t>
        </is>
      </c>
      <c r="G164" t="inlineStr">
        <is>
          <t>TORSÅS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46286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46286</v>
      </c>
      <c r="F166" t="inlineStr">
        <is>
          <t>KALMAR LÄN</t>
        </is>
      </c>
      <c r="G166" t="inlineStr">
        <is>
          <t>TORSÅS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46286</v>
      </c>
      <c r="F167" t="inlineStr">
        <is>
          <t>KALMAR LÄN</t>
        </is>
      </c>
      <c r="G167" t="inlineStr">
        <is>
          <t>TORSÅS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46286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46286</v>
      </c>
      <c r="F169" t="inlineStr">
        <is>
          <t>KALMAR LÄN</t>
        </is>
      </c>
      <c r="G169" t="inlineStr">
        <is>
          <t>TORSÅS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46286</v>
      </c>
      <c r="F170" t="inlineStr">
        <is>
          <t>KALMAR LÄN</t>
        </is>
      </c>
      <c r="G170" t="inlineStr">
        <is>
          <t>TORSÅS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46286</v>
      </c>
      <c r="F171" t="inlineStr">
        <is>
          <t>KALMAR LÄN</t>
        </is>
      </c>
      <c r="G171" t="inlineStr">
        <is>
          <t>TORSÅS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46286</v>
      </c>
      <c r="F172" t="inlineStr">
        <is>
          <t>KALMAR LÄN</t>
        </is>
      </c>
      <c r="G172" t="inlineStr">
        <is>
          <t>TORSÅS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44914</v>
      </c>
      <c r="E173" s="1" t="n">
        <v>46286</v>
      </c>
      <c r="F173" t="inlineStr">
        <is>
          <t>KALMAR LÄN</t>
        </is>
      </c>
      <c r="G173" t="inlineStr">
        <is>
          <t>TORSÅS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45330</v>
      </c>
      <c r="E174" s="1" t="n">
        <v>46286</v>
      </c>
      <c r="F174" t="inlineStr">
        <is>
          <t>KALMAR LÄN</t>
        </is>
      </c>
      <c r="G174" t="inlineStr">
        <is>
          <t>TORSÅS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46286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46286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46286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46286</v>
      </c>
      <c r="F178" t="inlineStr">
        <is>
          <t>KALMAR LÄN</t>
        </is>
      </c>
      <c r="G178" t="inlineStr">
        <is>
          <t>TORSÅS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46286</v>
      </c>
      <c r="F179" t="inlineStr">
        <is>
          <t>KALMAR LÄN</t>
        </is>
      </c>
      <c r="G179" t="inlineStr">
        <is>
          <t>TORSÅS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46286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46286</v>
      </c>
      <c r="F181" t="inlineStr">
        <is>
          <t>KALMAR LÄN</t>
        </is>
      </c>
      <c r="G181" t="inlineStr">
        <is>
          <t>TORSÅS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46286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46286</v>
      </c>
      <c r="F183" t="inlineStr">
        <is>
          <t>KALMAR LÄN</t>
        </is>
      </c>
      <c r="G183" t="inlineStr">
        <is>
          <t>TORSÅS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46286</v>
      </c>
      <c r="F184" t="inlineStr">
        <is>
          <t>KALMAR LÄN</t>
        </is>
      </c>
      <c r="G184" t="inlineStr">
        <is>
          <t>TORSÅS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46286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46286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46286</v>
      </c>
      <c r="F187" t="inlineStr">
        <is>
          <t>KALMAR LÄN</t>
        </is>
      </c>
      <c r="G187" t="inlineStr">
        <is>
          <t>TORSÅS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46286</v>
      </c>
      <c r="F188" t="inlineStr">
        <is>
          <t>KALMAR LÄN</t>
        </is>
      </c>
      <c r="G188" t="inlineStr">
        <is>
          <t>TORSÅS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46286</v>
      </c>
      <c r="F189" t="inlineStr">
        <is>
          <t>KALMAR LÄN</t>
        </is>
      </c>
      <c r="G189" t="inlineStr">
        <is>
          <t>TORSÅS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46286</v>
      </c>
      <c r="F190" t="inlineStr">
        <is>
          <t>KALMAR LÄN</t>
        </is>
      </c>
      <c r="G190" t="inlineStr">
        <is>
          <t>TORSÅS</t>
        </is>
      </c>
      <c r="I190" t="n">
        <v>15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46286</v>
      </c>
      <c r="F191" t="inlineStr">
        <is>
          <t>KALMAR LÄN</t>
        </is>
      </c>
      <c r="G191" t="inlineStr">
        <is>
          <t>TORSÅS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46286</v>
      </c>
      <c r="F192" t="inlineStr">
        <is>
          <t>KALMAR LÄN</t>
        </is>
      </c>
      <c r="G192" t="inlineStr">
        <is>
          <t>TORSÅS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46286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46286</v>
      </c>
      <c r="F194" t="inlineStr">
        <is>
          <t>KALMAR LÄN</t>
        </is>
      </c>
      <c r="G194" t="inlineStr">
        <is>
          <t>TORSÅS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46286</v>
      </c>
      <c r="F195" t="inlineStr">
        <is>
          <t>KALMAR LÄN</t>
        </is>
      </c>
      <c r="G195" t="inlineStr">
        <is>
          <t>TORSÅS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46286</v>
      </c>
      <c r="F196" t="inlineStr">
        <is>
          <t>KALMAR LÄN</t>
        </is>
      </c>
      <c r="G196" t="inlineStr">
        <is>
          <t>TORSÅS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46286</v>
      </c>
      <c r="F197" t="inlineStr">
        <is>
          <t>KALMAR LÄN</t>
        </is>
      </c>
      <c r="G197" t="inlineStr">
        <is>
          <t>TORSÅS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46286</v>
      </c>
      <c r="F198" t="inlineStr">
        <is>
          <t>KALMAR LÄN</t>
        </is>
      </c>
      <c r="G198" t="inlineStr">
        <is>
          <t>TORSÅS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46286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46286</v>
      </c>
      <c r="F200" t="inlineStr">
        <is>
          <t>KALMAR LÄN</t>
        </is>
      </c>
      <c r="G200" t="inlineStr">
        <is>
          <t>TORSÅS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46286</v>
      </c>
      <c r="F201" t="inlineStr">
        <is>
          <t>KALMAR LÄN</t>
        </is>
      </c>
      <c r="G201" t="inlineStr">
        <is>
          <t>TORSÅS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46286</v>
      </c>
      <c r="F202" t="inlineStr">
        <is>
          <t>KALMAR LÄN</t>
        </is>
      </c>
      <c r="G202" t="inlineStr">
        <is>
          <t>TORSÅS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45016</v>
      </c>
      <c r="E203" s="1" t="n">
        <v>46286</v>
      </c>
      <c r="F203" t="inlineStr">
        <is>
          <t>KALMAR LÄN</t>
        </is>
      </c>
      <c r="G203" t="inlineStr">
        <is>
          <t>TORSÅS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46286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59284-2021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44490</v>
      </c>
      <c r="E205" s="1" t="n">
        <v>46286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46286</v>
      </c>
      <c r="F206" t="inlineStr">
        <is>
          <t>KALMAR LÄN</t>
        </is>
      </c>
      <c r="G206" t="inlineStr">
        <is>
          <t>TORSÅS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21192-2026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46286</v>
      </c>
      <c r="F207" t="inlineStr">
        <is>
          <t>KALMAR LÄN</t>
        </is>
      </c>
      <c r="G207" t="inlineStr">
        <is>
          <t>TORSÅS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46286</v>
      </c>
      <c r="F208" t="inlineStr">
        <is>
          <t>KALMAR LÄN</t>
        </is>
      </c>
      <c r="G208" t="inlineStr">
        <is>
          <t>TORSÅS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46286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46286</v>
      </c>
      <c r="F210" t="inlineStr">
        <is>
          <t>KALMAR LÄN</t>
        </is>
      </c>
      <c r="G210" t="inlineStr">
        <is>
          <t>TORSÅS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46286</v>
      </c>
      <c r="F211" t="inlineStr">
        <is>
          <t>KALMAR LÄN</t>
        </is>
      </c>
      <c r="G211" t="inlineStr">
        <is>
          <t>TORSÅS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44613</v>
      </c>
      <c r="E212" s="1" t="n">
        <v>46286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21577-2022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44706</v>
      </c>
      <c r="E213" s="1" t="n">
        <v>46286</v>
      </c>
      <c r="F213" t="inlineStr">
        <is>
          <t>KALMAR LÄN</t>
        </is>
      </c>
      <c r="G213" t="inlineStr">
        <is>
          <t>TORSÅS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46286</v>
      </c>
      <c r="F214" t="inlineStr">
        <is>
          <t>KALMAR LÄN</t>
        </is>
      </c>
      <c r="G214" t="inlineStr">
        <is>
          <t>TORSÅS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46286</v>
      </c>
      <c r="F215" t="inlineStr">
        <is>
          <t>KALMAR LÄN</t>
        </is>
      </c>
      <c r="G215" t="inlineStr">
        <is>
          <t>TORSÅS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46286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46286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46286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46286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46286</v>
      </c>
      <c r="F220" t="inlineStr">
        <is>
          <t>KALMAR LÄN</t>
        </is>
      </c>
      <c r="G220" t="inlineStr">
        <is>
          <t>TORSÅS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46286</v>
      </c>
      <c r="F221" t="inlineStr">
        <is>
          <t>KALMAR LÄN</t>
        </is>
      </c>
      <c r="G221" t="inlineStr">
        <is>
          <t>TORSÅS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45329</v>
      </c>
      <c r="E222" s="1" t="n">
        <v>46286</v>
      </c>
      <c r="F222" t="inlineStr">
        <is>
          <t>KALMAR LÄN</t>
        </is>
      </c>
      <c r="G222" t="inlineStr">
        <is>
          <t>TORSÅS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45139</v>
      </c>
      <c r="E223" s="1" t="n">
        <v>46286</v>
      </c>
      <c r="F223" t="inlineStr">
        <is>
          <t>KALMAR LÄN</t>
        </is>
      </c>
      <c r="G223" t="inlineStr">
        <is>
          <t>TORSÅS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45369</v>
      </c>
      <c r="E224" s="1" t="n">
        <v>46286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46286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46286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46286</v>
      </c>
      <c r="F227" t="inlineStr">
        <is>
          <t>KALMAR LÄN</t>
        </is>
      </c>
      <c r="G227" t="inlineStr">
        <is>
          <t>TORSÅS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46286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46286</v>
      </c>
      <c r="F229" t="inlineStr">
        <is>
          <t>KALMAR LÄN</t>
        </is>
      </c>
      <c r="G229" t="inlineStr">
        <is>
          <t>TORSÅS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46286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44839-2022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44841</v>
      </c>
      <c r="E231" s="1" t="n">
        <v>46286</v>
      </c>
      <c r="F231" t="inlineStr">
        <is>
          <t>KALMAR LÄN</t>
        </is>
      </c>
      <c r="G231" t="inlineStr">
        <is>
          <t>TORSÅS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46286</v>
      </c>
      <c r="F232" t="inlineStr">
        <is>
          <t>KALMAR LÄN</t>
        </is>
      </c>
      <c r="G232" t="inlineStr">
        <is>
          <t>TORSÅS</t>
        </is>
      </c>
      <c r="H232" t="inlineStr">
        <is>
          <t>Kommuner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46286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45716</v>
      </c>
      <c r="E234" s="1" t="n">
        <v>46286</v>
      </c>
      <c r="F234" t="inlineStr">
        <is>
          <t>KALMAR LÄN</t>
        </is>
      </c>
      <c r="G234" t="inlineStr">
        <is>
          <t>TORSÅS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46286</v>
      </c>
      <c r="F235" t="inlineStr">
        <is>
          <t>KALMAR LÄN</t>
        </is>
      </c>
      <c r="G235" t="inlineStr">
        <is>
          <t>TORSÅS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46286</v>
      </c>
      <c r="F236" t="inlineStr">
        <is>
          <t>KALMAR LÄN</t>
        </is>
      </c>
      <c r="G236" t="inlineStr">
        <is>
          <t>TORSÅS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46286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46286</v>
      </c>
      <c r="F238" t="inlineStr">
        <is>
          <t>KALMAR LÄN</t>
        </is>
      </c>
      <c r="G238" t="inlineStr">
        <is>
          <t>TORSÅS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46286</v>
      </c>
      <c r="F239" t="inlineStr">
        <is>
          <t>KALMAR LÄN</t>
        </is>
      </c>
      <c r="G239" t="inlineStr">
        <is>
          <t>TORSÅS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46286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46286</v>
      </c>
      <c r="F241" t="inlineStr">
        <is>
          <t>KALMAR LÄN</t>
        </is>
      </c>
      <c r="G241" t="inlineStr">
        <is>
          <t>TORSÅS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46286</v>
      </c>
      <c r="F242" t="inlineStr">
        <is>
          <t>KALMAR LÄN</t>
        </is>
      </c>
      <c r="G242" t="inlineStr">
        <is>
          <t>TORSÅS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59130-2025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45988</v>
      </c>
      <c r="E243" s="1" t="n">
        <v>46286</v>
      </c>
      <c r="F243" t="inlineStr">
        <is>
          <t>KALMAR LÄN</t>
        </is>
      </c>
      <c r="G243" t="inlineStr">
        <is>
          <t>TORSÅS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46286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46286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46286</v>
      </c>
      <c r="F246" t="inlineStr">
        <is>
          <t>KALMAR LÄN</t>
        </is>
      </c>
      <c r="G246" t="inlineStr">
        <is>
          <t>TORSÅS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44694</v>
      </c>
      <c r="E247" s="1" t="n">
        <v>46286</v>
      </c>
      <c r="F247" t="inlineStr">
        <is>
          <t>KALMAR LÄN</t>
        </is>
      </c>
      <c r="G247" t="inlineStr">
        <is>
          <t>TORSÅS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46286</v>
      </c>
      <c r="F248" t="inlineStr">
        <is>
          <t>KALMAR LÄN</t>
        </is>
      </c>
      <c r="G248" t="inlineStr">
        <is>
          <t>TORSÅS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46286</v>
      </c>
      <c r="F249" t="inlineStr">
        <is>
          <t>KALMAR LÄN</t>
        </is>
      </c>
      <c r="G249" t="inlineStr">
        <is>
          <t>TORSÅS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46286</v>
      </c>
      <c r="F250" t="inlineStr">
        <is>
          <t>KALMAR LÄN</t>
        </is>
      </c>
      <c r="G250" t="inlineStr">
        <is>
          <t>TORSÅS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41566-2022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44827</v>
      </c>
      <c r="E251" s="1" t="n">
        <v>46286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46286</v>
      </c>
      <c r="F252" t="inlineStr">
        <is>
          <t>KALMAR LÄN</t>
        </is>
      </c>
      <c r="G252" t="inlineStr">
        <is>
          <t>TORSÅS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46286</v>
      </c>
      <c r="F253" t="inlineStr">
        <is>
          <t>KALMAR LÄN</t>
        </is>
      </c>
      <c r="G253" t="inlineStr">
        <is>
          <t>TORSÅS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46286</v>
      </c>
      <c r="F254" t="inlineStr">
        <is>
          <t>KALMAR LÄN</t>
        </is>
      </c>
      <c r="G254" t="inlineStr">
        <is>
          <t>TORSÅS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46286</v>
      </c>
      <c r="F255" t="inlineStr">
        <is>
          <t>KALMAR LÄN</t>
        </is>
      </c>
      <c r="G255" t="inlineStr">
        <is>
          <t>TORSÅS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46286</v>
      </c>
      <c r="F256" t="inlineStr">
        <is>
          <t>KALMAR LÄN</t>
        </is>
      </c>
      <c r="G256" t="inlineStr">
        <is>
          <t>TORSÅS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46286</v>
      </c>
      <c r="F257" t="inlineStr">
        <is>
          <t>KALMAR LÄN</t>
        </is>
      </c>
      <c r="G257" t="inlineStr">
        <is>
          <t>TORSÅS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46286</v>
      </c>
      <c r="F258" t="inlineStr">
        <is>
          <t>KALMAR LÄN</t>
        </is>
      </c>
      <c r="G258" t="inlineStr">
        <is>
          <t>TORSÅS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46286</v>
      </c>
      <c r="F259" t="inlineStr">
        <is>
          <t>KALMAR LÄN</t>
        </is>
      </c>
      <c r="G259" t="inlineStr">
        <is>
          <t>TORSÅS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46286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46286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46286</v>
      </c>
      <c r="F262" t="inlineStr">
        <is>
          <t>KALMAR LÄN</t>
        </is>
      </c>
      <c r="G262" t="inlineStr">
        <is>
          <t>TORSÅS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46286</v>
      </c>
      <c r="F263" t="inlineStr">
        <is>
          <t>KALMAR LÄN</t>
        </is>
      </c>
      <c r="G263" t="inlineStr">
        <is>
          <t>TORSÅS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46286</v>
      </c>
      <c r="F264" t="inlineStr">
        <is>
          <t>KALMAR LÄN</t>
        </is>
      </c>
      <c r="G264" t="inlineStr">
        <is>
          <t>TORSÅS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46286</v>
      </c>
      <c r="F265" t="inlineStr">
        <is>
          <t>KALMAR LÄN</t>
        </is>
      </c>
      <c r="G265" t="inlineStr">
        <is>
          <t>TORSÅS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46286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45440</v>
      </c>
      <c r="E267" s="1" t="n">
        <v>46286</v>
      </c>
      <c r="F267" t="inlineStr">
        <is>
          <t>KALMAR LÄN</t>
        </is>
      </c>
      <c r="G267" t="inlineStr">
        <is>
          <t>TORSÅS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46286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55675-2021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44476</v>
      </c>
      <c r="E269" s="1" t="n">
        <v>46286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46286</v>
      </c>
      <c r="F270" t="inlineStr">
        <is>
          <t>KALMAR LÄN</t>
        </is>
      </c>
      <c r="G270" t="inlineStr">
        <is>
          <t>TORSÅS</t>
        </is>
      </c>
      <c r="H270" t="inlineStr">
        <is>
          <t>Övriga Aktiebolag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46286</v>
      </c>
      <c r="F271" t="inlineStr">
        <is>
          <t>KALMAR LÄN</t>
        </is>
      </c>
      <c r="G271" t="inlineStr">
        <is>
          <t>TORSÅS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45288</v>
      </c>
      <c r="E272" s="1" t="n">
        <v>46286</v>
      </c>
      <c r="F272" t="inlineStr">
        <is>
          <t>KALMAR LÄN</t>
        </is>
      </c>
      <c r="G272" t="inlineStr">
        <is>
          <t>TORSÅS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46286</v>
      </c>
      <c r="F273" t="inlineStr">
        <is>
          <t>KALMAR LÄN</t>
        </is>
      </c>
      <c r="G273" t="inlineStr">
        <is>
          <t>TORSÅS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46286</v>
      </c>
      <c r="F274" t="inlineStr">
        <is>
          <t>KALMAR LÄN</t>
        </is>
      </c>
      <c r="G274" t="inlineStr">
        <is>
          <t>TORSÅS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46286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46286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46286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46286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46286</v>
      </c>
      <c r="F279" t="inlineStr">
        <is>
          <t>KALMAR LÄN</t>
        </is>
      </c>
      <c r="G279" t="inlineStr">
        <is>
          <t>TORSÅS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46286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46286</v>
      </c>
      <c r="F281" t="inlineStr">
        <is>
          <t>KALMAR LÄN</t>
        </is>
      </c>
      <c r="G281" t="inlineStr">
        <is>
          <t>TORSÅS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46286</v>
      </c>
      <c r="F282" t="inlineStr">
        <is>
          <t>KALMAR LÄN</t>
        </is>
      </c>
      <c r="G282" t="inlineStr">
        <is>
          <t>TORSÅS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68493-2021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46286</v>
      </c>
      <c r="F283" t="inlineStr">
        <is>
          <t>KALMAR LÄN</t>
        </is>
      </c>
      <c r="G283" t="inlineStr">
        <is>
          <t>TORSÅS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46286</v>
      </c>
      <c r="F284" t="inlineStr">
        <is>
          <t>KALMAR LÄN</t>
        </is>
      </c>
      <c r="G284" t="inlineStr">
        <is>
          <t>TORSÅS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25072-2026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46174</v>
      </c>
      <c r="E285" s="1" t="n">
        <v>46286</v>
      </c>
      <c r="F285" t="inlineStr">
        <is>
          <t>KALMAR LÄN</t>
        </is>
      </c>
      <c r="G285" t="inlineStr">
        <is>
          <t>TORSÅS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46286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46286</v>
      </c>
      <c r="F287" t="inlineStr">
        <is>
          <t>KALMAR LÄN</t>
        </is>
      </c>
      <c r="G287" t="inlineStr">
        <is>
          <t>TORSÅS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46286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46286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46286</v>
      </c>
      <c r="F290" t="inlineStr">
        <is>
          <t>KALMAR LÄN</t>
        </is>
      </c>
      <c r="G290" t="inlineStr">
        <is>
          <t>TORSÅS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46286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44881</v>
      </c>
      <c r="E292" s="1" t="n">
        <v>46286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45328</v>
      </c>
      <c r="E293" s="1" t="n">
        <v>46286</v>
      </c>
      <c r="F293" t="inlineStr">
        <is>
          <t>KALMAR LÄN</t>
        </is>
      </c>
      <c r="G293" t="inlineStr">
        <is>
          <t>TORSÅS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46286</v>
      </c>
      <c r="F294" t="inlineStr">
        <is>
          <t>KALMAR LÄN</t>
        </is>
      </c>
      <c r="G294" t="inlineStr">
        <is>
          <t>TORSÅS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46286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45001</v>
      </c>
      <c r="E296" s="1" t="n">
        <v>46286</v>
      </c>
      <c r="F296" t="inlineStr">
        <is>
          <t>KALMAR LÄN</t>
        </is>
      </c>
      <c r="G296" t="inlineStr">
        <is>
          <t>TORSÅS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44938</v>
      </c>
      <c r="E297" s="1" t="n">
        <v>46286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46070</v>
      </c>
      <c r="E298" s="1" t="n">
        <v>46286</v>
      </c>
      <c r="F298" t="inlineStr">
        <is>
          <t>KALMAR LÄN</t>
        </is>
      </c>
      <c r="G298" t="inlineStr">
        <is>
          <t>TORSÅS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46286</v>
      </c>
      <c r="F299" t="inlineStr">
        <is>
          <t>KALMAR LÄN</t>
        </is>
      </c>
      <c r="G299" t="inlineStr">
        <is>
          <t>TORSÅS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46286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46286</v>
      </c>
      <c r="F301" t="inlineStr">
        <is>
          <t>KALMAR LÄN</t>
        </is>
      </c>
      <c r="G301" t="inlineStr">
        <is>
          <t>TORSÅS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46286</v>
      </c>
      <c r="F302" t="inlineStr">
        <is>
          <t>KALMAR LÄN</t>
        </is>
      </c>
      <c r="G302" t="inlineStr">
        <is>
          <t>TORSÅS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53571-2021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44468</v>
      </c>
      <c r="E303" s="1" t="n">
        <v>46286</v>
      </c>
      <c r="F303" t="inlineStr">
        <is>
          <t>KALMAR LÄN</t>
        </is>
      </c>
      <c r="G303" t="inlineStr">
        <is>
          <t>TORSÅS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44958</v>
      </c>
      <c r="E304" s="1" t="n">
        <v>46286</v>
      </c>
      <c r="F304" t="inlineStr">
        <is>
          <t>KALMAR LÄN</t>
        </is>
      </c>
      <c r="G304" t="inlineStr">
        <is>
          <t>TORSÅS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46286</v>
      </c>
      <c r="F305" t="inlineStr">
        <is>
          <t>KALMAR LÄN</t>
        </is>
      </c>
      <c r="G305" t="inlineStr">
        <is>
          <t>TORSÅS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46286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46286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46286</v>
      </c>
      <c r="F308" t="inlineStr">
        <is>
          <t>KALMAR LÄN</t>
        </is>
      </c>
      <c r="G308" t="inlineStr">
        <is>
          <t>TORSÅS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46286</v>
      </c>
      <c r="F309" t="inlineStr">
        <is>
          <t>KALMAR LÄN</t>
        </is>
      </c>
      <c r="G309" t="inlineStr">
        <is>
          <t>TORSÅS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46286</v>
      </c>
      <c r="F310" t="inlineStr">
        <is>
          <t>KALMAR LÄN</t>
        </is>
      </c>
      <c r="G310" t="inlineStr">
        <is>
          <t>TORSÅS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46286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46286</v>
      </c>
      <c r="F312" t="inlineStr">
        <is>
          <t>KALMAR LÄN</t>
        </is>
      </c>
      <c r="G312" t="inlineStr">
        <is>
          <t>TORSÅS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44739</v>
      </c>
      <c r="E313" s="1" t="n">
        <v>46286</v>
      </c>
      <c r="F313" t="inlineStr">
        <is>
          <t>KALMAR LÄN</t>
        </is>
      </c>
      <c r="G313" t="inlineStr">
        <is>
          <t>TORSÅS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46286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46286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46286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46286</v>
      </c>
      <c r="F317" t="inlineStr">
        <is>
          <t>KALMAR LÄN</t>
        </is>
      </c>
      <c r="G317" t="inlineStr">
        <is>
          <t>TORSÅS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46286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46286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46286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46286</v>
      </c>
      <c r="F321" t="inlineStr">
        <is>
          <t>KALMAR LÄN</t>
        </is>
      </c>
      <c r="G321" t="inlineStr">
        <is>
          <t>TORSÅS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44790</v>
      </c>
      <c r="E322" s="1" t="n">
        <v>46286</v>
      </c>
      <c r="F322" t="inlineStr">
        <is>
          <t>KALMAR LÄN</t>
        </is>
      </c>
      <c r="G322" t="inlineStr">
        <is>
          <t>TORSÅS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46286</v>
      </c>
      <c r="F323" t="inlineStr">
        <is>
          <t>KALMAR LÄN</t>
        </is>
      </c>
      <c r="G323" t="inlineStr">
        <is>
          <t>TORSÅS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46286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46286</v>
      </c>
      <c r="F325" t="inlineStr">
        <is>
          <t>KALMAR LÄN</t>
        </is>
      </c>
      <c r="G325" t="inlineStr">
        <is>
          <t>TORSÅS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46286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46286</v>
      </c>
      <c r="F327" t="inlineStr">
        <is>
          <t>KALMAR LÄN</t>
        </is>
      </c>
      <c r="G327" t="inlineStr">
        <is>
          <t>TORSÅS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46286</v>
      </c>
      <c r="F328" t="inlineStr">
        <is>
          <t>KALMAR LÄN</t>
        </is>
      </c>
      <c r="G328" t="inlineStr">
        <is>
          <t>TORSÅS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46286</v>
      </c>
      <c r="F329" t="inlineStr">
        <is>
          <t>KALMAR LÄN</t>
        </is>
      </c>
      <c r="G329" t="inlineStr">
        <is>
          <t>TORSÅS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46286</v>
      </c>
      <c r="F330" t="inlineStr">
        <is>
          <t>KALMAR LÄN</t>
        </is>
      </c>
      <c r="G330" t="inlineStr">
        <is>
          <t>TORSÅS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39728-2024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45552</v>
      </c>
      <c r="E331" s="1" t="n">
        <v>46286</v>
      </c>
      <c r="F331" t="inlineStr">
        <is>
          <t>KALMAR LÄN</t>
        </is>
      </c>
      <c r="G331" t="inlineStr">
        <is>
          <t>TORSÅS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46286</v>
      </c>
      <c r="F332" t="inlineStr">
        <is>
          <t>KALMAR LÄN</t>
        </is>
      </c>
      <c r="G332" t="inlineStr">
        <is>
          <t>TORSÅS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46286</v>
      </c>
      <c r="F333" t="inlineStr">
        <is>
          <t>KALMAR LÄN</t>
        </is>
      </c>
      <c r="G333" t="inlineStr">
        <is>
          <t>TORSÅS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46286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45178</v>
      </c>
      <c r="E335" s="1" t="n">
        <v>46286</v>
      </c>
      <c r="F335" t="inlineStr">
        <is>
          <t>KALMAR LÄN</t>
        </is>
      </c>
      <c r="G335" t="inlineStr">
        <is>
          <t>TORSÅS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46286</v>
      </c>
      <c r="F336" t="inlineStr">
        <is>
          <t>KALMAR LÄN</t>
        </is>
      </c>
      <c r="G336" t="inlineStr">
        <is>
          <t>TORSÅS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44637</v>
      </c>
      <c r="E337" s="1" t="n">
        <v>46286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58038-2022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46286</v>
      </c>
      <c r="F338" t="inlineStr">
        <is>
          <t>KALMAR LÄN</t>
        </is>
      </c>
      <c r="G338" t="inlineStr">
        <is>
          <t>TORSÅS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46286</v>
      </c>
      <c r="F339" t="inlineStr">
        <is>
          <t>KALMAR LÄN</t>
        </is>
      </c>
      <c r="G339" t="inlineStr">
        <is>
          <t>TORSÅS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46286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44851</v>
      </c>
      <c r="E341" s="1" t="n">
        <v>46286</v>
      </c>
      <c r="F341" t="inlineStr">
        <is>
          <t>KALMAR LÄN</t>
        </is>
      </c>
      <c r="G341" t="inlineStr">
        <is>
          <t>TORSÅS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66543-2021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46286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46286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64348-2021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44511</v>
      </c>
      <c r="E344" s="1" t="n">
        <v>46286</v>
      </c>
      <c r="F344" t="inlineStr">
        <is>
          <t>KALMAR LÄN</t>
        </is>
      </c>
      <c r="G344" t="inlineStr">
        <is>
          <t>TORSÅS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46286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44640</v>
      </c>
      <c r="E346" s="1" t="n">
        <v>46286</v>
      </c>
      <c r="F346" t="inlineStr">
        <is>
          <t>KALMAR LÄN</t>
        </is>
      </c>
      <c r="G346" t="inlineStr">
        <is>
          <t>TORSÅS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45082</v>
      </c>
      <c r="E347" s="1" t="n">
        <v>46286</v>
      </c>
      <c r="F347" t="inlineStr">
        <is>
          <t>KALMAR LÄN</t>
        </is>
      </c>
      <c r="G347" t="inlineStr">
        <is>
          <t>TORSÅS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45425</v>
      </c>
      <c r="E348" s="1" t="n">
        <v>46286</v>
      </c>
      <c r="F348" t="inlineStr">
        <is>
          <t>KALMAR LÄN</t>
        </is>
      </c>
      <c r="G348" t="inlineStr">
        <is>
          <t>TORSÅS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45426</v>
      </c>
      <c r="E349" s="1" t="n">
        <v>46286</v>
      </c>
      <c r="F349" t="inlineStr">
        <is>
          <t>KALMAR LÄN</t>
        </is>
      </c>
      <c r="G349" t="inlineStr">
        <is>
          <t>TORSÅS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46286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46286</v>
      </c>
      <c r="F351" t="inlineStr">
        <is>
          <t>KALMAR LÄN</t>
        </is>
      </c>
      <c r="G351" t="inlineStr">
        <is>
          <t>TORSÅS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46286</v>
      </c>
      <c r="F352" t="inlineStr">
        <is>
          <t>KALMAR LÄN</t>
        </is>
      </c>
      <c r="G352" t="inlineStr">
        <is>
          <t>TORSÅS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46286</v>
      </c>
      <c r="F353" t="inlineStr">
        <is>
          <t>KALMAR LÄN</t>
        </is>
      </c>
      <c r="G353" t="inlineStr">
        <is>
          <t>TORSÅS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46286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45225</v>
      </c>
      <c r="E355" s="1" t="n">
        <v>46286</v>
      </c>
      <c r="F355" t="inlineStr">
        <is>
          <t>KALMAR LÄN</t>
        </is>
      </c>
      <c r="G355" t="inlineStr">
        <is>
          <t>TORSÅS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52072-2023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45223</v>
      </c>
      <c r="E356" s="1" t="n">
        <v>46286</v>
      </c>
      <c r="F356" t="inlineStr">
        <is>
          <t>KALMAR LÄN</t>
        </is>
      </c>
      <c r="G356" t="inlineStr">
        <is>
          <t>TORSÅS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46246</v>
      </c>
      <c r="E357" s="1" t="n">
        <v>46286</v>
      </c>
      <c r="F357" t="inlineStr">
        <is>
          <t>KALMAR LÄN</t>
        </is>
      </c>
      <c r="G357" t="inlineStr">
        <is>
          <t>TORSÅS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64373-2023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45280</v>
      </c>
      <c r="E358" s="1" t="n">
        <v>46286</v>
      </c>
      <c r="F358" t="inlineStr">
        <is>
          <t>KALMAR LÄN</t>
        </is>
      </c>
      <c r="G358" t="inlineStr">
        <is>
          <t>TORSÅS</t>
        </is>
      </c>
      <c r="I358" t="n">
        <v>19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32525-2024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45513</v>
      </c>
      <c r="E359" s="1" t="n">
        <v>46286</v>
      </c>
      <c r="F359" t="inlineStr">
        <is>
          <t>KALMAR LÄN</t>
        </is>
      </c>
      <c r="G359" t="inlineStr">
        <is>
          <t>TORSÅS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32532-2024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45513</v>
      </c>
      <c r="E360" s="1" t="n">
        <v>46286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45243</v>
      </c>
      <c r="E361" s="1" t="n">
        <v>46286</v>
      </c>
      <c r="F361" t="inlineStr">
        <is>
          <t>KALMAR LÄN</t>
        </is>
      </c>
      <c r="G361" t="inlineStr">
        <is>
          <t>TORSÅS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45370</v>
      </c>
      <c r="E362" s="1" t="n">
        <v>46286</v>
      </c>
      <c r="F362" t="inlineStr">
        <is>
          <t>KALMAR LÄN</t>
        </is>
      </c>
      <c r="G362" t="inlineStr">
        <is>
          <t>TORSÅS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45636</v>
      </c>
      <c r="E363" s="1" t="n">
        <v>46286</v>
      </c>
      <c r="F363" t="inlineStr">
        <is>
          <t>KALMAR LÄN</t>
        </is>
      </c>
      <c r="G363" t="inlineStr">
        <is>
          <t>TORSÅS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46286</v>
      </c>
      <c r="F364" t="inlineStr">
        <is>
          <t>KALMAR LÄN</t>
        </is>
      </c>
      <c r="G364" t="inlineStr">
        <is>
          <t>TORSÅS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46286</v>
      </c>
      <c r="F365" t="inlineStr">
        <is>
          <t>KALMAR LÄN</t>
        </is>
      </c>
      <c r="G365" t="inlineStr">
        <is>
          <t>TORSÅS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46286</v>
      </c>
      <c r="F366" t="inlineStr">
        <is>
          <t>KALMAR LÄN</t>
        </is>
      </c>
      <c r="G366" t="inlineStr">
        <is>
          <t>TORSÅS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45182</v>
      </c>
      <c r="E367" s="1" t="n">
        <v>46286</v>
      </c>
      <c r="F367" t="inlineStr">
        <is>
          <t>KALMAR LÄN</t>
        </is>
      </c>
      <c r="G367" t="inlineStr">
        <is>
          <t>TORSÅS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45324</v>
      </c>
      <c r="E368" s="1" t="n">
        <v>46286</v>
      </c>
      <c r="F368" t="inlineStr">
        <is>
          <t>KALMAR LÄN</t>
        </is>
      </c>
      <c r="G368" t="inlineStr">
        <is>
          <t>TORSÅS</t>
        </is>
      </c>
      <c r="H368" t="inlineStr">
        <is>
          <t>Övriga Aktiebolag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46286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46286</v>
      </c>
      <c r="F370" t="inlineStr">
        <is>
          <t>KALMAR LÄN</t>
        </is>
      </c>
      <c r="G370" t="inlineStr">
        <is>
          <t>TORSÅS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46286</v>
      </c>
      <c r="F371" t="inlineStr">
        <is>
          <t>KALMAR LÄN</t>
        </is>
      </c>
      <c r="G371" t="inlineStr">
        <is>
          <t>TORSÅS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44657</v>
      </c>
      <c r="E372" s="1" t="n">
        <v>46286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46286</v>
      </c>
      <c r="F373" t="inlineStr">
        <is>
          <t>KALMAR LÄN</t>
        </is>
      </c>
      <c r="G373" t="inlineStr">
        <is>
          <t>TORSÅS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34633-2026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46286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46286</v>
      </c>
      <c r="F375" t="inlineStr">
        <is>
          <t>KALMAR LÄN</t>
        </is>
      </c>
      <c r="G375" t="inlineStr">
        <is>
          <t>TORSÅS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45182</v>
      </c>
      <c r="E376" s="1" t="n">
        <v>46286</v>
      </c>
      <c r="F376" t="inlineStr">
        <is>
          <t>KALMAR LÄN</t>
        </is>
      </c>
      <c r="G376" t="inlineStr">
        <is>
          <t>TORSÅS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46286</v>
      </c>
      <c r="F377" t="inlineStr">
        <is>
          <t>KALMAR LÄN</t>
        </is>
      </c>
      <c r="G377" t="inlineStr">
        <is>
          <t>TORSÅS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45645</v>
      </c>
      <c r="E378" s="1" t="n">
        <v>46286</v>
      </c>
      <c r="F378" t="inlineStr">
        <is>
          <t>KALMAR LÄN</t>
        </is>
      </c>
      <c r="G378" t="inlineStr">
        <is>
          <t>TORSÅS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62101-2021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44502</v>
      </c>
      <c r="E379" s="1" t="n">
        <v>46286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45027</v>
      </c>
      <c r="E380" s="1" t="n">
        <v>46286</v>
      </c>
      <c r="F380" t="inlineStr">
        <is>
          <t>KALMAR LÄN</t>
        </is>
      </c>
      <c r="G380" t="inlineStr">
        <is>
          <t>TORSÅS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45323</v>
      </c>
      <c r="E381" s="1" t="n">
        <v>46286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46286</v>
      </c>
      <c r="F382" t="inlineStr">
        <is>
          <t>KALMAR LÄN</t>
        </is>
      </c>
      <c r="G382" t="inlineStr">
        <is>
          <t>TORSÅS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46260</v>
      </c>
      <c r="E383" s="1" t="n">
        <v>46286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46286</v>
      </c>
      <c r="F384" t="inlineStr">
        <is>
          <t>KALMAR LÄN</t>
        </is>
      </c>
      <c r="G384" t="inlineStr">
        <is>
          <t>TORSÅS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46286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46286</v>
      </c>
      <c r="F386" t="inlineStr">
        <is>
          <t>KALMAR LÄN</t>
        </is>
      </c>
      <c r="G386" t="inlineStr">
        <is>
          <t>TORSÅS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45352</v>
      </c>
      <c r="E387" s="1" t="n">
        <v>46286</v>
      </c>
      <c r="F387" t="inlineStr">
        <is>
          <t>KALMAR LÄN</t>
        </is>
      </c>
      <c r="G387" t="inlineStr">
        <is>
          <t>TORSÅS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46265</v>
      </c>
      <c r="E388" s="1" t="n">
        <v>46286</v>
      </c>
      <c r="F388" t="inlineStr">
        <is>
          <t>KALMAR LÄN</t>
        </is>
      </c>
      <c r="G388" t="inlineStr">
        <is>
          <t>TORSÅS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45198</v>
      </c>
      <c r="E389" s="1" t="n">
        <v>46286</v>
      </c>
      <c r="F389" t="inlineStr">
        <is>
          <t>KALMAR LÄN</t>
        </is>
      </c>
      <c r="G389" t="inlineStr">
        <is>
          <t>TORSÅS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46286</v>
      </c>
      <c r="F390" t="inlineStr">
        <is>
          <t>KALMAR LÄN</t>
        </is>
      </c>
      <c r="G390" t="inlineStr">
        <is>
          <t>TORSÅS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45167</v>
      </c>
      <c r="E391" s="1" t="n">
        <v>46286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46286</v>
      </c>
      <c r="F392" t="inlineStr">
        <is>
          <t>KALMAR LÄN</t>
        </is>
      </c>
      <c r="G392" t="inlineStr">
        <is>
          <t>TORSÅS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46286</v>
      </c>
      <c r="F393" t="inlineStr">
        <is>
          <t>KALMAR LÄN</t>
        </is>
      </c>
      <c r="G393" t="inlineStr">
        <is>
          <t>TORSÅS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46286</v>
      </c>
      <c r="F394" t="inlineStr">
        <is>
          <t>KALMAR LÄN</t>
        </is>
      </c>
      <c r="G394" t="inlineStr">
        <is>
          <t>TORSÅS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46268</v>
      </c>
      <c r="E395" s="1" t="n">
        <v>46286</v>
      </c>
      <c r="F395" t="inlineStr">
        <is>
          <t>KALMAR LÄN</t>
        </is>
      </c>
      <c r="G395" t="inlineStr">
        <is>
          <t>TORSÅS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46268</v>
      </c>
      <c r="E396" s="1" t="n">
        <v>46286</v>
      </c>
      <c r="F396" t="inlineStr">
        <is>
          <t>KALMAR LÄN</t>
        </is>
      </c>
      <c r="G396" t="inlineStr">
        <is>
          <t>TORSÅS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44986</v>
      </c>
      <c r="E397" s="1" t="n">
        <v>46286</v>
      </c>
      <c r="F397" t="inlineStr">
        <is>
          <t>KALMAR LÄN</t>
        </is>
      </c>
      <c r="G397" t="inlineStr">
        <is>
          <t>TORSÅS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46286</v>
      </c>
      <c r="F398" t="inlineStr">
        <is>
          <t>KALMAR LÄN</t>
        </is>
      </c>
      <c r="G398" t="inlineStr">
        <is>
          <t>TORSÅS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45299</v>
      </c>
      <c r="E399" s="1" t="n">
        <v>46286</v>
      </c>
      <c r="F399" t="inlineStr">
        <is>
          <t>KALMAR LÄN</t>
        </is>
      </c>
      <c r="G399" t="inlineStr">
        <is>
          <t>TORSÅS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46286</v>
      </c>
      <c r="F400" t="inlineStr">
        <is>
          <t>KALMAR LÄN</t>
        </is>
      </c>
      <c r="G400" t="inlineStr">
        <is>
          <t>TORSÅS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45694</v>
      </c>
      <c r="E401" s="1" t="n">
        <v>46286</v>
      </c>
      <c r="F401" t="inlineStr">
        <is>
          <t>KALMAR LÄN</t>
        </is>
      </c>
      <c r="G401" t="inlineStr">
        <is>
          <t>TORSÅS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46286</v>
      </c>
      <c r="F402" t="inlineStr">
        <is>
          <t>KALMAR LÄN</t>
        </is>
      </c>
      <c r="G402" t="inlineStr">
        <is>
          <t>TORSÅS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46286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46286</v>
      </c>
      <c r="F404" t="inlineStr">
        <is>
          <t>KALMAR LÄN</t>
        </is>
      </c>
      <c r="G404" t="inlineStr">
        <is>
          <t>TORSÅS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45645</v>
      </c>
      <c r="E405" s="1" t="n">
        <v>46286</v>
      </c>
      <c r="F405" t="inlineStr">
        <is>
          <t>KALMAR LÄN</t>
        </is>
      </c>
      <c r="G405" t="inlineStr">
        <is>
          <t>TORSÅS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46286</v>
      </c>
      <c r="F406" t="inlineStr">
        <is>
          <t>KALMAR LÄN</t>
        </is>
      </c>
      <c r="G406" t="inlineStr">
        <is>
          <t>TORSÅS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46278</v>
      </c>
      <c r="E407" s="1" t="n">
        <v>46286</v>
      </c>
      <c r="F407" t="inlineStr">
        <is>
          <t>KALMAR LÄN</t>
        </is>
      </c>
      <c r="G407" t="inlineStr">
        <is>
          <t>TORSÅS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45330</v>
      </c>
      <c r="E408" s="1" t="n">
        <v>46286</v>
      </c>
      <c r="F408" t="inlineStr">
        <is>
          <t>KALMAR LÄN</t>
        </is>
      </c>
      <c r="G408" t="inlineStr">
        <is>
          <t>TORSÅS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46286</v>
      </c>
      <c r="F409" t="inlineStr">
        <is>
          <t>KALMAR LÄN</t>
        </is>
      </c>
      <c r="G409" t="inlineStr">
        <is>
          <t>TORSÅS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44679</v>
      </c>
      <c r="E410" s="1" t="n">
        <v>46286</v>
      </c>
      <c r="F410" t="inlineStr">
        <is>
          <t>KALMAR LÄN</t>
        </is>
      </c>
      <c r="G410" t="inlineStr">
        <is>
          <t>TORSÅS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46286</v>
      </c>
      <c r="F411" t="inlineStr">
        <is>
          <t>KALMAR LÄN</t>
        </is>
      </c>
      <c r="G411" t="inlineStr">
        <is>
          <t>TORSÅS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46286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46286</v>
      </c>
      <c r="F413" t="inlineStr">
        <is>
          <t>KALMAR LÄN</t>
        </is>
      </c>
      <c r="G413" t="inlineStr">
        <is>
          <t>TORSÅS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46286</v>
      </c>
      <c r="F414" t="inlineStr">
        <is>
          <t>KALMAR LÄN</t>
        </is>
      </c>
      <c r="G414" t="inlineStr">
        <is>
          <t>TORSÅS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46286</v>
      </c>
      <c r="F415" t="inlineStr">
        <is>
          <t>KALMAR LÄN</t>
        </is>
      </c>
      <c r="G415" t="inlineStr">
        <is>
          <t>TORSÅS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46286</v>
      </c>
      <c r="F416" t="inlineStr">
        <is>
          <t>KALMAR LÄN</t>
        </is>
      </c>
      <c r="G416" t="inlineStr">
        <is>
          <t>TORSÅS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46286</v>
      </c>
      <c r="F417" t="inlineStr">
        <is>
          <t>KALMAR LÄN</t>
        </is>
      </c>
      <c r="G417" t="inlineStr">
        <is>
          <t>TORSÅS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28945-2025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45820</v>
      </c>
      <c r="E418" s="1" t="n">
        <v>46286</v>
      </c>
      <c r="F418" t="inlineStr">
        <is>
          <t>KALMAR LÄN</t>
        </is>
      </c>
      <c r="G418" t="inlineStr">
        <is>
          <t>TORSÅS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46286</v>
      </c>
      <c r="F419" t="inlineStr">
        <is>
          <t>KALMAR LÄN</t>
        </is>
      </c>
      <c r="G419" t="inlineStr">
        <is>
          <t>TORSÅS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45839</v>
      </c>
      <c r="E420" s="1" t="n">
        <v>46286</v>
      </c>
      <c r="F420" t="inlineStr">
        <is>
          <t>KALMAR LÄN</t>
        </is>
      </c>
      <c r="G420" t="inlineStr">
        <is>
          <t>TORSÅS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45860</v>
      </c>
      <c r="E421" s="1" t="n">
        <v>46286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46286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45869</v>
      </c>
      <c r="E423" s="1" t="n">
        <v>46286</v>
      </c>
      <c r="F423" t="inlineStr">
        <is>
          <t>KALMAR LÄN</t>
        </is>
      </c>
      <c r="G423" t="inlineStr">
        <is>
          <t>TORSÅS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45869</v>
      </c>
      <c r="E424" s="1" t="n">
        <v>46286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46286</v>
      </c>
      <c r="F425" t="inlineStr">
        <is>
          <t>KALMAR LÄN</t>
        </is>
      </c>
      <c r="G425" t="inlineStr">
        <is>
          <t>TORSÅS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46286</v>
      </c>
      <c r="F426" t="inlineStr">
        <is>
          <t>KALMAR LÄN</t>
        </is>
      </c>
      <c r="G426" t="inlineStr">
        <is>
          <t>TORSÅS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37626-2025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45880</v>
      </c>
      <c r="E427" s="1" t="n">
        <v>46286</v>
      </c>
      <c r="F427" t="inlineStr">
        <is>
          <t>KALMAR LÄN</t>
        </is>
      </c>
      <c r="G427" t="inlineStr">
        <is>
          <t>TORSÅS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3937-2023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45235</v>
      </c>
      <c r="E428" s="1" t="n">
        <v>46286</v>
      </c>
      <c r="F428" t="inlineStr">
        <is>
          <t>KALMAR LÄN</t>
        </is>
      </c>
      <c r="G428" t="inlineStr">
        <is>
          <t>TORSÅS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221-2024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45316</v>
      </c>
      <c r="E429" s="1" t="n">
        <v>46286</v>
      </c>
      <c r="F429" t="inlineStr">
        <is>
          <t>KALMAR LÄN</t>
        </is>
      </c>
      <c r="G429" t="inlineStr">
        <is>
          <t>TORSÅS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3287-2024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45527</v>
      </c>
      <c r="E430" s="1" t="n">
        <v>46286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1844-2024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46286</v>
      </c>
      <c r="F431" t="inlineStr">
        <is>
          <t>KALMAR LÄN</t>
        </is>
      </c>
      <c r="G431" t="inlineStr">
        <is>
          <t>TORSÅS</t>
        </is>
      </c>
      <c r="I431" t="n">
        <v>15.7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1824-2022</t>
        </is>
      </c>
      <c r="B432" t="inlineStr">
        <is>
          <t>samrådsanmälan</t>
        </is>
      </c>
      <c r="C432" t="inlineStr">
        <is>
          <t>Skogsbilväg</t>
        </is>
      </c>
      <c r="D432" s="1" t="n">
        <v>44658</v>
      </c>
      <c r="E432" s="1" t="n">
        <v>46286</v>
      </c>
      <c r="F432" t="inlineStr">
        <is>
          <t>KALMAR LÄN</t>
        </is>
      </c>
      <c r="G432" t="inlineStr">
        <is>
          <t>TORSÅS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2489-2024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45471</v>
      </c>
      <c r="E433" s="1" t="n">
        <v>46286</v>
      </c>
      <c r="F433" t="inlineStr">
        <is>
          <t>KALMAR LÄN</t>
        </is>
      </c>
      <c r="G433" t="inlineStr">
        <is>
          <t>TORSÅS</t>
        </is>
      </c>
      <c r="I433" t="n">
        <v>18.2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1842-2024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46286</v>
      </c>
      <c r="F434" t="inlineStr">
        <is>
          <t>KALMAR LÄN</t>
        </is>
      </c>
      <c r="G434" t="inlineStr">
        <is>
          <t>TORSÅS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1843-2024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46286</v>
      </c>
      <c r="F435" t="inlineStr">
        <is>
          <t>KALMAR LÄN</t>
        </is>
      </c>
      <c r="G435" t="inlineStr">
        <is>
          <t>TORSÅS</t>
        </is>
      </c>
      <c r="I435" t="n">
        <v>11.6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3767-2024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45558</v>
      </c>
      <c r="E436" s="1" t="n">
        <v>46286</v>
      </c>
      <c r="F436" t="inlineStr">
        <is>
          <t>KALMAR LÄN</t>
        </is>
      </c>
      <c r="G436" t="inlineStr">
        <is>
          <t>TORSÅS</t>
        </is>
      </c>
      <c r="I436" t="n">
        <v>19.8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866-2024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46286</v>
      </c>
      <c r="F437" t="inlineStr">
        <is>
          <t>KALMAR LÄN</t>
        </is>
      </c>
      <c r="G437" t="inlineStr">
        <is>
          <t>TORSÅS</t>
        </is>
      </c>
      <c r="I437" t="n">
        <v>16.6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7089-2021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44462</v>
      </c>
      <c r="E438" s="1" t="n">
        <v>46286</v>
      </c>
      <c r="F438" t="inlineStr">
        <is>
          <t>KALMAR LÄN</t>
        </is>
      </c>
      <c r="G438" t="inlineStr">
        <is>
          <t>TORSÅS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367-2024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45330</v>
      </c>
      <c r="E439" s="1" t="n">
        <v>46286</v>
      </c>
      <c r="F439" t="inlineStr">
        <is>
          <t>KALMAR LÄN</t>
        </is>
      </c>
      <c r="G439" t="inlineStr">
        <is>
          <t>TORSÅS</t>
        </is>
      </c>
      <c r="I439" t="n">
        <v>33.3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871-2024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46286</v>
      </c>
      <c r="F440" t="inlineStr">
        <is>
          <t>KALMAR LÄN</t>
        </is>
      </c>
      <c r="G440" t="inlineStr">
        <is>
          <t>TORSÅS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1059-2024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45387</v>
      </c>
      <c r="E441" s="1" t="n">
        <v>46286</v>
      </c>
      <c r="F441" t="inlineStr">
        <is>
          <t>KALMAR LÄN</t>
        </is>
      </c>
      <c r="G441" t="inlineStr">
        <is>
          <t>TORSÅS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46286</v>
      </c>
      <c r="F442" t="inlineStr">
        <is>
          <t>KALMAR LÄN</t>
        </is>
      </c>
      <c r="G442" t="inlineStr">
        <is>
          <t>TORSÅS</t>
        </is>
      </c>
      <c r="I442" t="n">
        <v>19.2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46286</v>
      </c>
      <c r="F443" t="inlineStr">
        <is>
          <t>KALMAR LÄN</t>
        </is>
      </c>
      <c r="G443" t="inlineStr">
        <is>
          <t>TORSÅS</t>
        </is>
      </c>
      <c r="I443" t="n">
        <v>35.5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297-2025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45687</v>
      </c>
      <c r="E444" s="1" t="n">
        <v>46286</v>
      </c>
      <c r="F444" t="inlineStr">
        <is>
          <t>KALMAR LÄN</t>
        </is>
      </c>
      <c r="G444" t="inlineStr">
        <is>
          <t>TORSÅS</t>
        </is>
      </c>
      <c r="I444" t="n">
        <v>31.5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46286</v>
      </c>
      <c r="F445" t="inlineStr">
        <is>
          <t>KALMAR LÄN</t>
        </is>
      </c>
      <c r="G445" t="inlineStr">
        <is>
          <t>TORSÅS</t>
        </is>
      </c>
      <c r="I445" t="n">
        <v>12.8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56-2023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44928</v>
      </c>
      <c r="E446" s="1" t="n">
        <v>46286</v>
      </c>
      <c r="F446" t="inlineStr">
        <is>
          <t>KALMAR LÄN</t>
        </is>
      </c>
      <c r="G446" t="inlineStr">
        <is>
          <t>TORSÅS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598-2023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44971</v>
      </c>
      <c r="E447" s="1" t="n">
        <v>46286</v>
      </c>
      <c r="F447" t="inlineStr">
        <is>
          <t>KALMAR LÄN</t>
        </is>
      </c>
      <c r="G447" t="inlineStr">
        <is>
          <t>TORSÅS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46286</v>
      </c>
      <c r="F448" t="inlineStr">
        <is>
          <t>KALMAR LÄN</t>
        </is>
      </c>
      <c r="G448" t="inlineStr">
        <is>
          <t>TORSÅS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1526-2025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46286</v>
      </c>
      <c r="F449" t="inlineStr">
        <is>
          <t>KALMAR LÄN</t>
        </is>
      </c>
      <c r="G449" t="inlineStr">
        <is>
          <t>TORSÅS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1524-2025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46286</v>
      </c>
      <c r="F450" t="inlineStr">
        <is>
          <t>KALMAR LÄN</t>
        </is>
      </c>
      <c r="G450" t="inlineStr">
        <is>
          <t>TORSÅS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>
      <c r="A451" t="inlineStr">
        <is>
          <t>S 1525-2025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46286</v>
      </c>
      <c r="F451" t="inlineStr">
        <is>
          <t>KALMAR LÄN</t>
        </is>
      </c>
      <c r="G451" t="inlineStr">
        <is>
          <t>TORSÅS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2026-09-21T02:00:38Z</dcterms:created>
  <dcterms:modified xmlns:dcterms="http://purl.org/dc/terms/" xmlns:xsi="http://www.w3.org/2001/XMLSchema-instance" xsi:type="dcterms:W3CDTF">2026-09-21T02:00:39Z</dcterms:modified>
</cp:coreProperties>
</file>