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46224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46224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46224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46224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46224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46224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46224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46224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46224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46224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Murgröna
Blåsippa</t>
        </is>
      </c>
      <c r="W16">
        <f>HYPERLINK("https://klasma.github.io/Logging_0834/artfynd/A 38695-2021 artfynd.xlsx", "A 38695-2021")</f>
        <v/>
      </c>
      <c r="X16">
        <f>HYPERLINK("https://klasma.github.io/Logging_0834/kartor/A 38695-2021 karta.png", "A 38695-2021")</f>
        <v/>
      </c>
      <c r="Y16">
        <f>HYPERLINK("https://klasma.github.io/Logging_0834/kartor_geotiff/A 38695-2021 georefererad karta.tif", "A 38695-2021")</f>
        <v/>
      </c>
      <c r="AA16">
        <f>HYPERLINK("https://klasma.github.io/Logging_0834/klagomål/A 38695-2021 FSC-klagomål.docx", "A 38695-2021")</f>
        <v/>
      </c>
      <c r="AB16">
        <f>HYPERLINK("https://klasma.github.io/Logging_0834/klagomålsmail/A 38695-2021 FSC-klagomål mail.docx", "A 38695-2021")</f>
        <v/>
      </c>
      <c r="AC16">
        <f>HYPERLINK("https://klasma.github.io/Logging_0834/tillsyn/A 38695-2021 tillsynsbegäran.docx", "A 38695-2021")</f>
        <v/>
      </c>
      <c r="AD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46224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46224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46224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46224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46224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46224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46224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46224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46224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46224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46224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46224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46224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46224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46224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46224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46224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46224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46224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46224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46224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6611-2026 artfynd.xlsx", "A 6611-2026")</f>
        <v/>
      </c>
      <c r="X37">
        <f>HYPERLINK("https://klasma.github.io/Logging_0834/kartor/A 6611-2026 karta.png", "A 6611-2026")</f>
        <v/>
      </c>
      <c r="Y37">
        <f>HYPERLINK("https://klasma.github.io/Logging_0834/kartor_geotiff/A 6611-2026 georefererad karta.tif", "A 6611-2026")</f>
        <v/>
      </c>
      <c r="AA37">
        <f>HYPERLINK("https://klasma.github.io/Logging_0834/klagomål/A 6611-2026 FSC-klagomål.docx", "A 6611-2026")</f>
        <v/>
      </c>
      <c r="AB37">
        <f>HYPERLINK("https://klasma.github.io/Logging_0834/klagomålsmail/A 6611-2026 FSC-klagomål mail.docx", "A 6611-2026")</f>
        <v/>
      </c>
      <c r="AC37">
        <f>HYPERLINK("https://klasma.github.io/Logging_0834/tillsyn/A 6611-2026 tillsynsbegäran.docx", "A 6611-2026")</f>
        <v/>
      </c>
      <c r="AD37">
        <f>HYPERLINK("https://klasma.github.io/Logging_0834/tillsynsmail/A 6611-2026 tillsynsbegäran mail.docx", "A 6611-2026")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46224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46224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46224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24513-2026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46224</v>
      </c>
      <c r="F41" t="inlineStr">
        <is>
          <t>KALMAR LÄN</t>
        </is>
      </c>
      <c r="G41" t="inlineStr">
        <is>
          <t>TORSÅS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24513-2026 artfynd.xlsx", "A 24513-2026")</f>
        <v/>
      </c>
      <c r="X41">
        <f>HYPERLINK("https://klasma.github.io/Logging_0834/kartor/A 24513-2026 karta.png", "A 24513-2026")</f>
        <v/>
      </c>
      <c r="Y41">
        <f>HYPERLINK("https://klasma.github.io/Logging_0834/kartor_geotiff/A 24513-2026 georefererad karta.tif", "A 24513-2026")</f>
        <v/>
      </c>
      <c r="AA41">
        <f>HYPERLINK("https://klasma.github.io/Logging_0834/klagomål/A 24513-2026 FSC-klagomål.docx", "A 24513-2026")</f>
        <v/>
      </c>
      <c r="AB41">
        <f>HYPERLINK("https://klasma.github.io/Logging_0834/klagomålsmail/A 24513-2026 FSC-klagomål mail.docx", "A 24513-2026")</f>
        <v/>
      </c>
      <c r="AC41">
        <f>HYPERLINK("https://klasma.github.io/Logging_0834/tillsyn/A 24513-2026 tillsynsbegäran.docx", "A 24513-2026")</f>
        <v/>
      </c>
      <c r="AD41">
        <f>HYPERLINK("https://klasma.github.io/Logging_0834/tillsynsmail/A 24513-2026 tillsynsbegäran mail.docx", "A 24513-2026")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46224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46224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46224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Murgröna</t>
        </is>
      </c>
      <c r="W44">
        <f>HYPERLINK("https://klasma.github.io/Logging_0834/artfynd/S 4235-2023 artfynd.xlsx", "S 4235-2023")</f>
        <v/>
      </c>
      <c r="X44">
        <f>HYPERLINK("https://klasma.github.io/Logging_0834/kartor/S 4235-2023 karta.png", "S 4235-2023")</f>
        <v/>
      </c>
      <c r="Y44">
        <f>HYPERLINK("https://klasma.github.io/Logging_0834/kartor_geotiff/S 4235-2023 georefererad karta.tif", "S 4235-2023")</f>
        <v/>
      </c>
      <c r="AA44">
        <f>HYPERLINK("https://klasma.github.io/Logging_0834/klagomål/S 4235-2023 FSC-klagomål.docx", "S 4235-2023")</f>
        <v/>
      </c>
      <c r="AB44">
        <f>HYPERLINK("https://klasma.github.io/Logging_0834/klagomålsmail/S 4235-2023 FSC-klagomål mail.docx", "S 4235-2023")</f>
        <v/>
      </c>
      <c r="AC44">
        <f>HYPERLINK("https://klasma.github.io/Logging_0834/tillsyn/S 4235-2023 tillsynsbegäran.docx", "S 4235-2023")</f>
        <v/>
      </c>
      <c r="AD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46224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HYPERLINK("https://klasma.github.io/Logging_0834/artfynd/S 1065-2024 artfynd.xlsx", "S 1065-2024")</f>
        <v/>
      </c>
      <c r="X45">
        <f>HYPERLINK("https://klasma.github.io/Logging_0834/kartor/S 1065-2024 karta.png", "S 1065-2024")</f>
        <v/>
      </c>
      <c r="Y45">
        <f>HYPERLINK("https://klasma.github.io/Logging_0834/kartor_geotiff/S 1065-2024 georefererad karta.tif", "S 1065-2024")</f>
        <v/>
      </c>
      <c r="AA45">
        <f>HYPERLINK("https://klasma.github.io/Logging_0834/klagomål/S 1065-2024 FSC-klagomål.docx", "S 1065-2024")</f>
        <v/>
      </c>
      <c r="AB45">
        <f>HYPERLINK("https://klasma.github.io/Logging_0834/klagomålsmail/S 1065-2024 FSC-klagomål mail.docx", "S 1065-2024")</f>
        <v/>
      </c>
      <c r="AC45">
        <f>HYPERLINK("https://klasma.github.io/Logging_0834/tillsyn/S 1065-2024 tillsynsbegäran.docx", "S 1065-2024")</f>
        <v/>
      </c>
      <c r="AD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46224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Långbensgroda</t>
        </is>
      </c>
      <c r="W46">
        <f>HYPERLINK("https://klasma.github.io/Logging_0834/artfynd/S 1845-2024 artfynd.xlsx", "S 1845-2024")</f>
        <v/>
      </c>
      <c r="X46">
        <f>HYPERLINK("https://klasma.github.io/Logging_0834/kartor/S 1845-2024 karta.png", "S 1845-2024")</f>
        <v/>
      </c>
      <c r="Y46">
        <f>HYPERLINK("https://klasma.github.io/Logging_0834/kartor_geotiff/S 1845-2024 georefererad karta.tif", "S 1845-2024")</f>
        <v/>
      </c>
      <c r="AA46">
        <f>HYPERLINK("https://klasma.github.io/Logging_0834/klagomål/S 1845-2024 FSC-klagomål.docx", "S 1845-2024")</f>
        <v/>
      </c>
      <c r="AB46">
        <f>HYPERLINK("https://klasma.github.io/Logging_0834/klagomålsmail/S 1845-2024 FSC-klagomål mail.docx", "S 1845-2024")</f>
        <v/>
      </c>
      <c r="AC46">
        <f>HYPERLINK("https://klasma.github.io/Logging_0834/tillsyn/S 1845-2024 tillsynsbegäran.docx", "S 1845-2024")</f>
        <v/>
      </c>
      <c r="AD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46224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Åkerkulla</t>
        </is>
      </c>
      <c r="W47">
        <f>HYPERLINK("https://klasma.github.io/Logging_0834/artfynd/S 298-2025 artfynd.xlsx", "S 298-2025")</f>
        <v/>
      </c>
      <c r="X47">
        <f>HYPERLINK("https://klasma.github.io/Logging_0834/kartor/S 298-2025 karta.png", "S 298-2025")</f>
        <v/>
      </c>
      <c r="Y47">
        <f>HYPERLINK("https://klasma.github.io/Logging_0834/kartor_geotiff/S 298-2025 georefererad karta.tif", "S 298-2025")</f>
        <v/>
      </c>
      <c r="AA47">
        <f>HYPERLINK("https://klasma.github.io/Logging_0834/klagomål/S 298-2025 FSC-klagomål.docx", "S 298-2025")</f>
        <v/>
      </c>
      <c r="AB47">
        <f>HYPERLINK("https://klasma.github.io/Logging_0834/klagomålsmail/S 298-2025 FSC-klagomål mail.docx", "S 298-2025")</f>
        <v/>
      </c>
      <c r="AC47">
        <f>HYPERLINK("https://klasma.github.io/Logging_0834/tillsyn/S 298-2025 tillsynsbegäran.docx", "S 298-2025")</f>
        <v/>
      </c>
      <c r="AD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46224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HYPERLINK("https://klasma.github.io/Logging_0834/artfynd/S 595-2023 artfynd.xlsx", "S 595-2023")</f>
        <v/>
      </c>
      <c r="X48">
        <f>HYPERLINK("https://klasma.github.io/Logging_0834/kartor/S 595-2023 karta.png", "S 595-2023")</f>
        <v/>
      </c>
      <c r="Y48">
        <f>HYPERLINK("https://klasma.github.io/Logging_0834/kartor_geotiff/S 595-2023 georefererad karta.tif", "S 595-2023")</f>
        <v/>
      </c>
      <c r="AA48">
        <f>HYPERLINK("https://klasma.github.io/Logging_0834/klagomål/S 595-2023 FSC-klagomål.docx", "S 595-2023")</f>
        <v/>
      </c>
      <c r="AB48">
        <f>HYPERLINK("https://klasma.github.io/Logging_0834/klagomålsmail/S 595-2023 FSC-klagomål mail.docx", "S 595-2023")</f>
        <v/>
      </c>
      <c r="AC48">
        <f>HYPERLINK("https://klasma.github.io/Logging_0834/tillsyn/S 595-2023 tillsynsbegäran.docx", "S 595-2023")</f>
        <v/>
      </c>
      <c r="AD48">
        <f>HYPERLINK("https://klasma.github.io/Logging_0834/tillsynsmail/S 595-2023 tillsynsbegäran mail.docx", "S 595-2023")</f>
        <v/>
      </c>
      <c r="AE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46224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Revlummer</t>
        </is>
      </c>
      <c r="W49">
        <f>HYPERLINK("https://klasma.github.io/Logging_0834/artfynd/S 1054-2024 artfynd.xlsx", "S 1054-2024")</f>
        <v/>
      </c>
      <c r="X49">
        <f>HYPERLINK("https://klasma.github.io/Logging_0834/kartor/S 1054-2024 karta.png", "S 1054-2024")</f>
        <v/>
      </c>
      <c r="Y49">
        <f>HYPERLINK("https://klasma.github.io/Logging_0834/kartor_geotiff/S 1054-2024 georefererad karta.tif", "S 1054-2024")</f>
        <v/>
      </c>
      <c r="AA49">
        <f>HYPERLINK("https://klasma.github.io/Logging_0834/klagomål/S 1054-2024 FSC-klagomål.docx", "S 1054-2024")</f>
        <v/>
      </c>
      <c r="AB49">
        <f>HYPERLINK("https://klasma.github.io/Logging_0834/klagomålsmail/S 1054-2024 FSC-klagomål mail.docx", "S 1054-2024")</f>
        <v/>
      </c>
      <c r="AC49">
        <f>HYPERLINK("https://klasma.github.io/Logging_0834/tillsyn/S 1054-2024 tillsynsbegäran.docx", "S 1054-2024")</f>
        <v/>
      </c>
      <c r="AD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46224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HYPERLINK("https://klasma.github.io/Logging_0834/artfynd/S 586-2026 artfynd.xlsx", "S 586-2026")</f>
        <v/>
      </c>
      <c r="X50">
        <f>HYPERLINK("https://klasma.github.io/Logging_0834/kartor/S 586-2026 karta.png", "S 586-2026")</f>
        <v/>
      </c>
      <c r="Y50">
        <f>HYPERLINK("https://klasma.github.io/Logging_0834/kartor_geotiff/S 586-2026 georefererad karta.tif", "S 586-2026")</f>
        <v/>
      </c>
      <c r="AA50">
        <f>HYPERLINK("https://klasma.github.io/Logging_0834/klagomål/S 586-2026 FSC-klagomål.docx", "S 586-2026")</f>
        <v/>
      </c>
      <c r="AB50">
        <f>HYPERLINK("https://klasma.github.io/Logging_0834/klagomålsmail/S 586-2026 FSC-klagomål mail.docx", "S 586-2026")</f>
        <v/>
      </c>
      <c r="AC50">
        <f>HYPERLINK("https://klasma.github.io/Logging_0834/tillsyn/S 586-2026 tillsynsbegäran.docx", "S 586-2026")</f>
        <v/>
      </c>
      <c r="AD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46224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46224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46224</v>
      </c>
      <c r="F53" t="inlineStr">
        <is>
          <t>KALMAR LÄN</t>
        </is>
      </c>
      <c r="G53" t="inlineStr">
        <is>
          <t>TORSÅS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46224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44213-2021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46224</v>
      </c>
      <c r="F55" t="inlineStr">
        <is>
          <t>KALMAR LÄN</t>
        </is>
      </c>
      <c r="G55" t="inlineStr">
        <is>
          <t>TORSÅS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46224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46224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46224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46224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46224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46224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46224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46224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46224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46224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46224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46224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46224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46224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46224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46224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46224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46224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46224</v>
      </c>
      <c r="F74" t="inlineStr">
        <is>
          <t>KALMAR LÄN</t>
        </is>
      </c>
      <c r="G74" t="inlineStr">
        <is>
          <t>TORSÅS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46224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46224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46224</v>
      </c>
      <c r="F77" t="inlineStr">
        <is>
          <t>KALMAR LÄN</t>
        </is>
      </c>
      <c r="G77" t="inlineStr">
        <is>
          <t>TORSÅS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46224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46224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46224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64991-2021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44514</v>
      </c>
      <c r="E81" s="1" t="n">
        <v>46224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69679-2021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46224</v>
      </c>
      <c r="F82" t="inlineStr">
        <is>
          <t>KALMAR LÄN</t>
        </is>
      </c>
      <c r="G82" t="inlineStr">
        <is>
          <t>TORSÅS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70317-2021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46224</v>
      </c>
      <c r="F83" t="inlineStr">
        <is>
          <t>KALMAR LÄN</t>
        </is>
      </c>
      <c r="G83" t="inlineStr">
        <is>
          <t>TORSÅS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46224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44411</v>
      </c>
      <c r="E85" s="1" t="n">
        <v>46224</v>
      </c>
      <c r="F85" t="inlineStr">
        <is>
          <t>KALMAR LÄN</t>
        </is>
      </c>
      <c r="G85" t="inlineStr">
        <is>
          <t>TORSÅS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46224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46224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46224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46224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46224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46224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46224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46224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46224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46224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46224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46224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46224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46224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28592-2022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44748</v>
      </c>
      <c r="E100" s="1" t="n">
        <v>46224</v>
      </c>
      <c r="F100" t="inlineStr">
        <is>
          <t>KALMAR LÄN</t>
        </is>
      </c>
      <c r="G100" t="inlineStr">
        <is>
          <t>TORSÅS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46224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46224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46224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46224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46224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44849</v>
      </c>
      <c r="E106" s="1" t="n">
        <v>46224</v>
      </c>
      <c r="F106" t="inlineStr">
        <is>
          <t>KALMAR LÄN</t>
        </is>
      </c>
      <c r="G106" t="inlineStr">
        <is>
          <t>TORSÅS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46224</v>
      </c>
      <c r="F107" t="inlineStr">
        <is>
          <t>KALMAR LÄN</t>
        </is>
      </c>
      <c r="G107" t="inlineStr">
        <is>
          <t>TORSÅS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46224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46224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46224</v>
      </c>
      <c r="F110" t="inlineStr">
        <is>
          <t>KALMAR LÄN</t>
        </is>
      </c>
      <c r="G110" t="inlineStr">
        <is>
          <t>TORSÅS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46224</v>
      </c>
      <c r="F111" t="inlineStr">
        <is>
          <t>KALMAR LÄN</t>
        </is>
      </c>
      <c r="G111" t="inlineStr">
        <is>
          <t>TORSÅS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44407</v>
      </c>
      <c r="E112" s="1" t="n">
        <v>46224</v>
      </c>
      <c r="F112" t="inlineStr">
        <is>
          <t>KALMAR LÄN</t>
        </is>
      </c>
      <c r="G112" t="inlineStr">
        <is>
          <t>TORSÅS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45001</v>
      </c>
      <c r="E113" s="1" t="n">
        <v>46224</v>
      </c>
      <c r="F113" t="inlineStr">
        <is>
          <t>KALMAR LÄN</t>
        </is>
      </c>
      <c r="G113" t="inlineStr">
        <is>
          <t>TORSÅS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46224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44763</v>
      </c>
      <c r="E115" s="1" t="n">
        <v>46224</v>
      </c>
      <c r="F115" t="inlineStr">
        <is>
          <t>KALMAR LÄN</t>
        </is>
      </c>
      <c r="G115" t="inlineStr">
        <is>
          <t>TORSÅS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46224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46224</v>
      </c>
      <c r="F117" t="inlineStr">
        <is>
          <t>KALMAR LÄN</t>
        </is>
      </c>
      <c r="G117" t="inlineStr">
        <is>
          <t>TORSÅS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44613</v>
      </c>
      <c r="E118" s="1" t="n">
        <v>46224</v>
      </c>
      <c r="F118" t="inlineStr">
        <is>
          <t>KALMAR LÄN</t>
        </is>
      </c>
      <c r="G118" t="inlineStr">
        <is>
          <t>TORSÅS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46224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46224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44890</v>
      </c>
      <c r="E121" s="1" t="n">
        <v>46224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46224</v>
      </c>
      <c r="F122" t="inlineStr">
        <is>
          <t>KALMAR LÄN</t>
        </is>
      </c>
      <c r="G122" t="inlineStr">
        <is>
          <t>TORSÅS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46224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46224</v>
      </c>
      <c r="F124" t="inlineStr">
        <is>
          <t>KALMAR LÄN</t>
        </is>
      </c>
      <c r="G124" t="inlineStr">
        <is>
          <t>TORSÅS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46224</v>
      </c>
      <c r="F125" t="inlineStr">
        <is>
          <t>KALMAR LÄN</t>
        </is>
      </c>
      <c r="G125" t="inlineStr">
        <is>
          <t>TORSÅS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46224</v>
      </c>
      <c r="F126" t="inlineStr">
        <is>
          <t>KALMAR LÄN</t>
        </is>
      </c>
      <c r="G126" t="inlineStr">
        <is>
          <t>TORSÅS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46224</v>
      </c>
      <c r="F127" t="inlineStr">
        <is>
          <t>KALMAR LÄN</t>
        </is>
      </c>
      <c r="G127" t="inlineStr">
        <is>
          <t>TORSÅS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46224</v>
      </c>
      <c r="F128" t="inlineStr">
        <is>
          <t>KALMAR LÄN</t>
        </is>
      </c>
      <c r="G128" t="inlineStr">
        <is>
          <t>TORSÅS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46224</v>
      </c>
      <c r="F129" t="inlineStr">
        <is>
          <t>KALMAR LÄN</t>
        </is>
      </c>
      <c r="G129" t="inlineStr">
        <is>
          <t>TORSÅS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44679</v>
      </c>
      <c r="E130" s="1" t="n">
        <v>46224</v>
      </c>
      <c r="F130" t="inlineStr">
        <is>
          <t>KALMAR LÄN</t>
        </is>
      </c>
      <c r="G130" t="inlineStr">
        <is>
          <t>TORSÅS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46224</v>
      </c>
      <c r="F131" t="inlineStr">
        <is>
          <t>KALMAR LÄN</t>
        </is>
      </c>
      <c r="G131" t="inlineStr">
        <is>
          <t>TORSÅS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46224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46224</v>
      </c>
      <c r="F133" t="inlineStr">
        <is>
          <t>KALMAR LÄN</t>
        </is>
      </c>
      <c r="G133" t="inlineStr">
        <is>
          <t>TORSÅS</t>
        </is>
      </c>
      <c r="I133" t="n">
        <v>13.8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46224</v>
      </c>
      <c r="F134" t="inlineStr">
        <is>
          <t>KALMAR LÄN</t>
        </is>
      </c>
      <c r="G134" t="inlineStr">
        <is>
          <t>TORSÅS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46224</v>
      </c>
      <c r="F135" t="inlineStr">
        <is>
          <t>KALMAR LÄN</t>
        </is>
      </c>
      <c r="G135" t="inlineStr">
        <is>
          <t>TORSÅS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44776</v>
      </c>
      <c r="E136" s="1" t="n">
        <v>46224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46224</v>
      </c>
      <c r="F137" t="inlineStr">
        <is>
          <t>KALMAR LÄN</t>
        </is>
      </c>
      <c r="G137" t="inlineStr">
        <is>
          <t>TORSÅS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46224</v>
      </c>
      <c r="F138" t="inlineStr">
        <is>
          <t>KALMAR LÄN</t>
        </is>
      </c>
      <c r="G138" t="inlineStr">
        <is>
          <t>TORSÅS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46224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44683</v>
      </c>
      <c r="E140" s="1" t="n">
        <v>46224</v>
      </c>
      <c r="F140" t="inlineStr">
        <is>
          <t>KALMAR LÄN</t>
        </is>
      </c>
      <c r="G140" t="inlineStr">
        <is>
          <t>TORSÅS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44683</v>
      </c>
      <c r="E141" s="1" t="n">
        <v>46224</v>
      </c>
      <c r="F141" t="inlineStr">
        <is>
          <t>KALMAR LÄN</t>
        </is>
      </c>
      <c r="G141" t="inlineStr">
        <is>
          <t>TORSÅS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46224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46224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46224</v>
      </c>
      <c r="F144" t="inlineStr">
        <is>
          <t>KALMAR LÄN</t>
        </is>
      </c>
      <c r="G144" t="inlineStr">
        <is>
          <t>TORSÅS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46224</v>
      </c>
      <c r="F145" t="inlineStr">
        <is>
          <t>KALMAR LÄN</t>
        </is>
      </c>
      <c r="G145" t="inlineStr">
        <is>
          <t>TORSÅS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46224</v>
      </c>
      <c r="F146" t="inlineStr">
        <is>
          <t>KALMAR LÄN</t>
        </is>
      </c>
      <c r="G146" t="inlineStr">
        <is>
          <t>TORSÅS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45309</v>
      </c>
      <c r="E147" s="1" t="n">
        <v>46224</v>
      </c>
      <c r="F147" t="inlineStr">
        <is>
          <t>KALMAR LÄN</t>
        </is>
      </c>
      <c r="G147" t="inlineStr">
        <is>
          <t>TORSÅS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46224</v>
      </c>
      <c r="F148" t="inlineStr">
        <is>
          <t>KALMAR LÄN</t>
        </is>
      </c>
      <c r="G148" t="inlineStr">
        <is>
          <t>TORSÅS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46224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10472-2023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44987</v>
      </c>
      <c r="E150" s="1" t="n">
        <v>46224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46224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45488</v>
      </c>
      <c r="E152" s="1" t="n">
        <v>46224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46224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45618</v>
      </c>
      <c r="E154" s="1" t="n">
        <v>46224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45567</v>
      </c>
      <c r="E155" s="1" t="n">
        <v>46224</v>
      </c>
      <c r="F155" t="inlineStr">
        <is>
          <t>KALMAR LÄN</t>
        </is>
      </c>
      <c r="G155" t="inlineStr">
        <is>
          <t>TORSÅS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45219</v>
      </c>
      <c r="E156" s="1" t="n">
        <v>46224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46224</v>
      </c>
      <c r="F157" t="inlineStr">
        <is>
          <t>KALMAR LÄN</t>
        </is>
      </c>
      <c r="G157" t="inlineStr">
        <is>
          <t>TORSÅS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45198</v>
      </c>
      <c r="E158" s="1" t="n">
        <v>46224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46224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45798</v>
      </c>
      <c r="E160" s="1" t="n">
        <v>46224</v>
      </c>
      <c r="F160" t="inlineStr">
        <is>
          <t>KALMAR LÄN</t>
        </is>
      </c>
      <c r="G160" t="inlineStr">
        <is>
          <t>TORSÅS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46224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46224</v>
      </c>
      <c r="F162" t="inlineStr">
        <is>
          <t>KALMAR LÄN</t>
        </is>
      </c>
      <c r="G162" t="inlineStr">
        <is>
          <t>TORSÅS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45050</v>
      </c>
      <c r="E163" s="1" t="n">
        <v>46224</v>
      </c>
      <c r="F163" t="inlineStr">
        <is>
          <t>KALMAR LÄN</t>
        </is>
      </c>
      <c r="G163" t="inlineStr">
        <is>
          <t>TORSÅS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45916</v>
      </c>
      <c r="E164" s="1" t="n">
        <v>46224</v>
      </c>
      <c r="F164" t="inlineStr">
        <is>
          <t>KALMAR LÄN</t>
        </is>
      </c>
      <c r="G164" t="inlineStr">
        <is>
          <t>TORSÅS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46224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46224</v>
      </c>
      <c r="F166" t="inlineStr">
        <is>
          <t>KALMAR LÄN</t>
        </is>
      </c>
      <c r="G166" t="inlineStr">
        <is>
          <t>TORSÅS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46224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46224</v>
      </c>
      <c r="F168" t="inlineStr">
        <is>
          <t>KALMAR LÄN</t>
        </is>
      </c>
      <c r="G168" t="inlineStr">
        <is>
          <t>TORSÅS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46224</v>
      </c>
      <c r="F169" t="inlineStr">
        <is>
          <t>KALMAR LÄN</t>
        </is>
      </c>
      <c r="G169" t="inlineStr">
        <is>
          <t>TORSÅS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46224</v>
      </c>
      <c r="F170" t="inlineStr">
        <is>
          <t>KALMAR LÄN</t>
        </is>
      </c>
      <c r="G170" t="inlineStr">
        <is>
          <t>TORSÅS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46224</v>
      </c>
      <c r="F171" t="inlineStr">
        <is>
          <t>KALMAR LÄN</t>
        </is>
      </c>
      <c r="G171" t="inlineStr">
        <is>
          <t>TORSÅS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45790</v>
      </c>
      <c r="E172" s="1" t="n">
        <v>46224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45820</v>
      </c>
      <c r="E173" s="1" t="n">
        <v>46224</v>
      </c>
      <c r="F173" t="inlineStr">
        <is>
          <t>KALMAR LÄN</t>
        </is>
      </c>
      <c r="G173" t="inlineStr">
        <is>
          <t>TORSÅS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46224</v>
      </c>
      <c r="F174" t="inlineStr">
        <is>
          <t>KALMAR LÄN</t>
        </is>
      </c>
      <c r="G174" t="inlineStr">
        <is>
          <t>TORSÅS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45924</v>
      </c>
      <c r="E175" s="1" t="n">
        <v>46224</v>
      </c>
      <c r="F175" t="inlineStr">
        <is>
          <t>KALMAR LÄN</t>
        </is>
      </c>
      <c r="G175" t="inlineStr">
        <is>
          <t>TORSÅS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45195</v>
      </c>
      <c r="E176" s="1" t="n">
        <v>46224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45925</v>
      </c>
      <c r="E177" s="1" t="n">
        <v>46224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46224</v>
      </c>
      <c r="F178" t="inlineStr">
        <is>
          <t>KALMAR LÄN</t>
        </is>
      </c>
      <c r="G178" t="inlineStr">
        <is>
          <t>TORSÅS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46224</v>
      </c>
      <c r="F179" t="inlineStr">
        <is>
          <t>KALMAR LÄN</t>
        </is>
      </c>
      <c r="G179" t="inlineStr">
        <is>
          <t>TORSÅS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45695</v>
      </c>
      <c r="E180" s="1" t="n">
        <v>46224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46224</v>
      </c>
      <c r="F181" t="inlineStr">
        <is>
          <t>KALMAR LÄN</t>
        </is>
      </c>
      <c r="G181" t="inlineStr">
        <is>
          <t>TORSÅS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46224</v>
      </c>
      <c r="F182" t="inlineStr">
        <is>
          <t>KALMAR LÄN</t>
        </is>
      </c>
      <c r="G182" t="inlineStr">
        <is>
          <t>TORSÅS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46224</v>
      </c>
      <c r="F183" t="inlineStr">
        <is>
          <t>KALMAR LÄN</t>
        </is>
      </c>
      <c r="G183" t="inlineStr">
        <is>
          <t>TORSÅS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46224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44861</v>
      </c>
      <c r="E185" s="1" t="n">
        <v>46224</v>
      </c>
      <c r="F185" t="inlineStr">
        <is>
          <t>KALMAR LÄN</t>
        </is>
      </c>
      <c r="G185" t="inlineStr">
        <is>
          <t>TORSÅS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46224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65651-2021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44516</v>
      </c>
      <c r="E187" s="1" t="n">
        <v>46224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46224</v>
      </c>
      <c r="F188" t="inlineStr">
        <is>
          <t>KALMAR LÄN</t>
        </is>
      </c>
      <c r="G188" t="inlineStr">
        <is>
          <t>TORSÅS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46224</v>
      </c>
      <c r="F189" t="inlineStr">
        <is>
          <t>KALMAR LÄN</t>
        </is>
      </c>
      <c r="G189" t="inlineStr">
        <is>
          <t>TORSÅS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46224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44827</v>
      </c>
      <c r="E191" s="1" t="n">
        <v>46224</v>
      </c>
      <c r="F191" t="inlineStr">
        <is>
          <t>KALMAR LÄN</t>
        </is>
      </c>
      <c r="G191" t="inlineStr">
        <is>
          <t>TORSÅS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46224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46224</v>
      </c>
      <c r="F193" t="inlineStr">
        <is>
          <t>KALMAR LÄN</t>
        </is>
      </c>
      <c r="G193" t="inlineStr">
        <is>
          <t>TORSÅS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55980-2022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46224</v>
      </c>
      <c r="F194" t="inlineStr">
        <is>
          <t>KALMAR LÄN</t>
        </is>
      </c>
      <c r="G194" t="inlineStr">
        <is>
          <t>TORSÅS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46224</v>
      </c>
      <c r="F195" t="inlineStr">
        <is>
          <t>KALMAR LÄN</t>
        </is>
      </c>
      <c r="G195" t="inlineStr">
        <is>
          <t>TORSÅS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45250</v>
      </c>
      <c r="E196" s="1" t="n">
        <v>46224</v>
      </c>
      <c r="F196" t="inlineStr">
        <is>
          <t>KALMAR LÄN</t>
        </is>
      </c>
      <c r="G196" t="inlineStr">
        <is>
          <t>TORSÅS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45000</v>
      </c>
      <c r="E197" s="1" t="n">
        <v>46224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45860</v>
      </c>
      <c r="E198" s="1" t="n">
        <v>46224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45869</v>
      </c>
      <c r="E199" s="1" t="n">
        <v>46224</v>
      </c>
      <c r="F199" t="inlineStr">
        <is>
          <t>KALMAR LÄN</t>
        </is>
      </c>
      <c r="G199" t="inlineStr">
        <is>
          <t>TORSÅS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45869</v>
      </c>
      <c r="E200" s="1" t="n">
        <v>46224</v>
      </c>
      <c r="F200" t="inlineStr">
        <is>
          <t>KALMAR LÄN</t>
        </is>
      </c>
      <c r="G200" t="inlineStr">
        <is>
          <t>TORSÅS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45869</v>
      </c>
      <c r="E201" s="1" t="n">
        <v>46224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44536</v>
      </c>
      <c r="E202" s="1" t="n">
        <v>46224</v>
      </c>
      <c r="F202" t="inlineStr">
        <is>
          <t>KALMAR LÄN</t>
        </is>
      </c>
      <c r="G202" t="inlineStr">
        <is>
          <t>TORSÅS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46224</v>
      </c>
      <c r="F203" t="inlineStr">
        <is>
          <t>KALMAR LÄN</t>
        </is>
      </c>
      <c r="G203" t="inlineStr">
        <is>
          <t>TORSÅS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46224</v>
      </c>
      <c r="F204" t="inlineStr">
        <is>
          <t>KALMAR LÄN</t>
        </is>
      </c>
      <c r="G204" t="inlineStr">
        <is>
          <t>TORSÅS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46224</v>
      </c>
      <c r="F205" t="inlineStr">
        <is>
          <t>KALMAR LÄN</t>
        </is>
      </c>
      <c r="G205" t="inlineStr">
        <is>
          <t>TORSÅS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46224</v>
      </c>
      <c r="F206" t="inlineStr">
        <is>
          <t>KALMAR LÄN</t>
        </is>
      </c>
      <c r="G206" t="inlineStr">
        <is>
          <t>TORSÅS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46224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45880</v>
      </c>
      <c r="E208" s="1" t="n">
        <v>46224</v>
      </c>
      <c r="F208" t="inlineStr">
        <is>
          <t>KALMAR LÄN</t>
        </is>
      </c>
      <c r="G208" t="inlineStr">
        <is>
          <t>TORSÅS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46224</v>
      </c>
      <c r="F209" t="inlineStr">
        <is>
          <t>KALMAR LÄN</t>
        </is>
      </c>
      <c r="G209" t="inlineStr">
        <is>
          <t>TORSÅS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46224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46224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46224</v>
      </c>
      <c r="F212" t="inlineStr">
        <is>
          <t>KALMAR LÄN</t>
        </is>
      </c>
      <c r="G212" t="inlineStr">
        <is>
          <t>TORSÅS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46224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44739</v>
      </c>
      <c r="E214" s="1" t="n">
        <v>46224</v>
      </c>
      <c r="F214" t="inlineStr">
        <is>
          <t>KALMAR LÄN</t>
        </is>
      </c>
      <c r="G214" t="inlineStr">
        <is>
          <t>TORSÅS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46224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46224</v>
      </c>
      <c r="F216" t="inlineStr">
        <is>
          <t>KALMAR LÄN</t>
        </is>
      </c>
      <c r="G216" t="inlineStr">
        <is>
          <t>TORSÅS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44942</v>
      </c>
      <c r="E217" s="1" t="n">
        <v>46224</v>
      </c>
      <c r="F217" t="inlineStr">
        <is>
          <t>KALMAR LÄN</t>
        </is>
      </c>
      <c r="G217" t="inlineStr">
        <is>
          <t>TORSÅS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46224</v>
      </c>
      <c r="F218" t="inlineStr">
        <is>
          <t>KALMAR LÄN</t>
        </is>
      </c>
      <c r="G218" t="inlineStr">
        <is>
          <t>TORSÅS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46224</v>
      </c>
      <c r="F219" t="inlineStr">
        <is>
          <t>KALMAR LÄN</t>
        </is>
      </c>
      <c r="G219" t="inlineStr">
        <is>
          <t>TORSÅS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45982</v>
      </c>
      <c r="E220" s="1" t="n">
        <v>46224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46224</v>
      </c>
      <c r="F221" t="inlineStr">
        <is>
          <t>KALMAR LÄN</t>
        </is>
      </c>
      <c r="G221" t="inlineStr">
        <is>
          <t>TORSÅS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59130-2025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45988</v>
      </c>
      <c r="E222" s="1" t="n">
        <v>46224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46224</v>
      </c>
      <c r="F223" t="inlineStr">
        <is>
          <t>KALMAR LÄN</t>
        </is>
      </c>
      <c r="G223" t="inlineStr">
        <is>
          <t>TORSÅS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45075</v>
      </c>
      <c r="E224" s="1" t="n">
        <v>46224</v>
      </c>
      <c r="F224" t="inlineStr">
        <is>
          <t>KALMAR LÄN</t>
        </is>
      </c>
      <c r="G224" t="inlineStr">
        <is>
          <t>TORSÅS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44795</v>
      </c>
      <c r="E225" s="1" t="n">
        <v>46224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46224</v>
      </c>
      <c r="F226" t="inlineStr">
        <is>
          <t>KALMAR LÄN</t>
        </is>
      </c>
      <c r="G226" t="inlineStr">
        <is>
          <t>TORSÅS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46224</v>
      </c>
      <c r="F227" t="inlineStr">
        <is>
          <t>KALMAR LÄN</t>
        </is>
      </c>
      <c r="G227" t="inlineStr">
        <is>
          <t>TORSÅS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46224</v>
      </c>
      <c r="F228" t="inlineStr">
        <is>
          <t>KALMAR LÄN</t>
        </is>
      </c>
      <c r="G228" t="inlineStr">
        <is>
          <t>TORSÅS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46224</v>
      </c>
      <c r="F229" t="inlineStr">
        <is>
          <t>KALMAR LÄN</t>
        </is>
      </c>
      <c r="G229" t="inlineStr">
        <is>
          <t>TORSÅS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46224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46224</v>
      </c>
      <c r="F231" t="inlineStr">
        <is>
          <t>KALMAR LÄN</t>
        </is>
      </c>
      <c r="G231" t="inlineStr">
        <is>
          <t>TORSÅS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46224</v>
      </c>
      <c r="F232" t="inlineStr">
        <is>
          <t>KALMAR LÄN</t>
        </is>
      </c>
      <c r="G232" t="inlineStr">
        <is>
          <t>TORSÅS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46224</v>
      </c>
      <c r="F233" t="inlineStr">
        <is>
          <t>KALMAR LÄN</t>
        </is>
      </c>
      <c r="G233" t="inlineStr">
        <is>
          <t>TORSÅS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46224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45260</v>
      </c>
      <c r="E235" s="1" t="n">
        <v>46224</v>
      </c>
      <c r="F235" t="inlineStr">
        <is>
          <t>KALMAR LÄN</t>
        </is>
      </c>
      <c r="G235" t="inlineStr">
        <is>
          <t>TORSÅS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46224</v>
      </c>
      <c r="F236" t="inlineStr">
        <is>
          <t>KALMAR LÄN</t>
        </is>
      </c>
      <c r="G236" t="inlineStr">
        <is>
          <t>TORSÅS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46224</v>
      </c>
      <c r="F237" t="inlineStr">
        <is>
          <t>KALMAR LÄN</t>
        </is>
      </c>
      <c r="G237" t="inlineStr">
        <is>
          <t>TORSÅS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46224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46224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46224</v>
      </c>
      <c r="F240" t="inlineStr">
        <is>
          <t>KALMAR LÄN</t>
        </is>
      </c>
      <c r="G240" t="inlineStr">
        <is>
          <t>TORSÅS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45224</v>
      </c>
      <c r="E241" s="1" t="n">
        <v>46224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46224</v>
      </c>
      <c r="F242" t="inlineStr">
        <is>
          <t>KALMAR LÄN</t>
        </is>
      </c>
      <c r="G242" t="inlineStr">
        <is>
          <t>TORSÅS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46070</v>
      </c>
      <c r="E243" s="1" t="n">
        <v>46224</v>
      </c>
      <c r="F243" t="inlineStr">
        <is>
          <t>KALMAR LÄN</t>
        </is>
      </c>
      <c r="G243" t="inlineStr">
        <is>
          <t>TORSÅS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45016</v>
      </c>
      <c r="E244" s="1" t="n">
        <v>46224</v>
      </c>
      <c r="F244" t="inlineStr">
        <is>
          <t>KALMAR LÄN</t>
        </is>
      </c>
      <c r="G244" t="inlineStr">
        <is>
          <t>TORSÅS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46224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59284-2021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44490</v>
      </c>
      <c r="E246" s="1" t="n">
        <v>46224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46224</v>
      </c>
      <c r="F247" t="inlineStr">
        <is>
          <t>KALMAR LÄN</t>
        </is>
      </c>
      <c r="G247" t="inlineStr">
        <is>
          <t>TORSÅS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46224</v>
      </c>
      <c r="F248" t="inlineStr">
        <is>
          <t>KALMAR LÄN</t>
        </is>
      </c>
      <c r="G248" t="inlineStr">
        <is>
          <t>TORSÅS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45447</v>
      </c>
      <c r="E249" s="1" t="n">
        <v>46224</v>
      </c>
      <c r="F249" t="inlineStr">
        <is>
          <t>KALMAR LÄN</t>
        </is>
      </c>
      <c r="G249" t="inlineStr">
        <is>
          <t>TORSÅS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46224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46224</v>
      </c>
      <c r="F251" t="inlineStr">
        <is>
          <t>KALMAR LÄN</t>
        </is>
      </c>
      <c r="G251" t="inlineStr">
        <is>
          <t>TORSÅS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44613</v>
      </c>
      <c r="E252" s="1" t="n">
        <v>46224</v>
      </c>
      <c r="F252" t="inlineStr">
        <is>
          <t>KALMAR LÄN</t>
        </is>
      </c>
      <c r="G252" t="inlineStr">
        <is>
          <t>TORSÅS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46224</v>
      </c>
      <c r="F253" t="inlineStr">
        <is>
          <t>KALMAR LÄN</t>
        </is>
      </c>
      <c r="G253" t="inlineStr">
        <is>
          <t>TORSÅS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46224</v>
      </c>
      <c r="F254" t="inlineStr">
        <is>
          <t>KALMAR LÄN</t>
        </is>
      </c>
      <c r="G254" t="inlineStr">
        <is>
          <t>TORSÅS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21577-2022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44706</v>
      </c>
      <c r="E255" s="1" t="n">
        <v>46224</v>
      </c>
      <c r="F255" t="inlineStr">
        <is>
          <t>KALMAR LÄN</t>
        </is>
      </c>
      <c r="G255" t="inlineStr">
        <is>
          <t>TORSÅS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44942</v>
      </c>
      <c r="E256" s="1" t="n">
        <v>46224</v>
      </c>
      <c r="F256" t="inlineStr">
        <is>
          <t>KALMAR LÄN</t>
        </is>
      </c>
      <c r="G256" t="inlineStr">
        <is>
          <t>TORSÅS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46224</v>
      </c>
      <c r="F257" t="inlineStr">
        <is>
          <t>KALMAR LÄN</t>
        </is>
      </c>
      <c r="G257" t="inlineStr">
        <is>
          <t>TORSÅS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46224</v>
      </c>
      <c r="F258" t="inlineStr">
        <is>
          <t>KALMAR LÄN</t>
        </is>
      </c>
      <c r="G258" t="inlineStr">
        <is>
          <t>TORSÅS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12484-2026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46224</v>
      </c>
      <c r="F259" t="inlineStr">
        <is>
          <t>KALMAR LÄN</t>
        </is>
      </c>
      <c r="G259" t="inlineStr">
        <is>
          <t>TORSÅS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46224</v>
      </c>
      <c r="F260" t="inlineStr">
        <is>
          <t>KALMAR LÄN</t>
        </is>
      </c>
      <c r="G260" t="inlineStr">
        <is>
          <t>TORSÅS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46224</v>
      </c>
      <c r="F261" t="inlineStr">
        <is>
          <t>KALMAR LÄN</t>
        </is>
      </c>
      <c r="G261" t="inlineStr">
        <is>
          <t>TORSÅS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46224</v>
      </c>
      <c r="F262" t="inlineStr">
        <is>
          <t>KALMAR LÄN</t>
        </is>
      </c>
      <c r="G262" t="inlineStr">
        <is>
          <t>TORSÅS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46224</v>
      </c>
      <c r="F263" t="inlineStr">
        <is>
          <t>KALMAR LÄN</t>
        </is>
      </c>
      <c r="G263" t="inlineStr">
        <is>
          <t>TORSÅS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46224</v>
      </c>
      <c r="F264" t="inlineStr">
        <is>
          <t>KALMAR LÄN</t>
        </is>
      </c>
      <c r="G264" t="inlineStr">
        <is>
          <t>TORSÅS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46224</v>
      </c>
      <c r="F265" t="inlineStr">
        <is>
          <t>KALMAR LÄN</t>
        </is>
      </c>
      <c r="G265" t="inlineStr">
        <is>
          <t>TORSÅS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46224</v>
      </c>
      <c r="F266" t="inlineStr">
        <is>
          <t>KALMAR LÄN</t>
        </is>
      </c>
      <c r="G266" t="inlineStr">
        <is>
          <t>TORSÅS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45132</v>
      </c>
      <c r="E267" s="1" t="n">
        <v>46224</v>
      </c>
      <c r="F267" t="inlineStr">
        <is>
          <t>KALMAR LÄN</t>
        </is>
      </c>
      <c r="G267" t="inlineStr">
        <is>
          <t>TORSÅS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12939-2026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46224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45329</v>
      </c>
      <c r="E269" s="1" t="n">
        <v>46224</v>
      </c>
      <c r="F269" t="inlineStr">
        <is>
          <t>KALMAR LÄN</t>
        </is>
      </c>
      <c r="G269" t="inlineStr">
        <is>
          <t>TORSÅS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46224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46224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46224</v>
      </c>
      <c r="F272" t="inlineStr">
        <is>
          <t>KALMAR LÄN</t>
        </is>
      </c>
      <c r="G272" t="inlineStr">
        <is>
          <t>TORSÅS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45001</v>
      </c>
      <c r="E273" s="1" t="n">
        <v>46224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45624</v>
      </c>
      <c r="E274" s="1" t="n">
        <v>46224</v>
      </c>
      <c r="F274" t="inlineStr">
        <is>
          <t>KALMAR LÄN</t>
        </is>
      </c>
      <c r="G274" t="inlineStr">
        <is>
          <t>TORSÅS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40569-2021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44420</v>
      </c>
      <c r="E275" s="1" t="n">
        <v>46224</v>
      </c>
      <c r="F275" t="inlineStr">
        <is>
          <t>KALMAR LÄN</t>
        </is>
      </c>
      <c r="G275" t="inlineStr">
        <is>
          <t>TORSÅS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46224</v>
      </c>
      <c r="F276" t="inlineStr">
        <is>
          <t>KALMAR LÄN</t>
        </is>
      </c>
      <c r="G276" t="inlineStr">
        <is>
          <t>TORSÅS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46224</v>
      </c>
      <c r="F277" t="inlineStr">
        <is>
          <t>KALMAR LÄN</t>
        </is>
      </c>
      <c r="G277" t="inlineStr">
        <is>
          <t>TORSÅS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46224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44839-2022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44841</v>
      </c>
      <c r="E279" s="1" t="n">
        <v>46224</v>
      </c>
      <c r="F279" t="inlineStr">
        <is>
          <t>KALMAR LÄN</t>
        </is>
      </c>
      <c r="G279" t="inlineStr">
        <is>
          <t>TORSÅS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46224</v>
      </c>
      <c r="F280" t="inlineStr">
        <is>
          <t>KALMAR LÄN</t>
        </is>
      </c>
      <c r="G280" t="inlineStr">
        <is>
          <t>TORSÅS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60055-2021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44495</v>
      </c>
      <c r="E281" s="1" t="n">
        <v>46224</v>
      </c>
      <c r="F281" t="inlineStr">
        <is>
          <t>KALMAR LÄN</t>
        </is>
      </c>
      <c r="G281" t="inlineStr">
        <is>
          <t>TORSÅS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45716</v>
      </c>
      <c r="E282" s="1" t="n">
        <v>46224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46224</v>
      </c>
      <c r="F283" t="inlineStr">
        <is>
          <t>KALMAR LÄN</t>
        </is>
      </c>
      <c r="G283" t="inlineStr">
        <is>
          <t>TORSÅS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46224</v>
      </c>
      <c r="F284" t="inlineStr">
        <is>
          <t>KALMAR LÄN</t>
        </is>
      </c>
      <c r="G284" t="inlineStr">
        <is>
          <t>TORSÅS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46224</v>
      </c>
      <c r="F285" t="inlineStr">
        <is>
          <t>KALMAR LÄN</t>
        </is>
      </c>
      <c r="G285" t="inlineStr">
        <is>
          <t>TORSÅS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46224</v>
      </c>
      <c r="F286" t="inlineStr">
        <is>
          <t>KALMAR LÄN</t>
        </is>
      </c>
      <c r="G286" t="inlineStr">
        <is>
          <t>TORSÅS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45040</v>
      </c>
      <c r="E287" s="1" t="n">
        <v>46224</v>
      </c>
      <c r="F287" t="inlineStr">
        <is>
          <t>KALMAR LÄN</t>
        </is>
      </c>
      <c r="G287" t="inlineStr">
        <is>
          <t>TORSÅS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17427-2026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46224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45288</v>
      </c>
      <c r="E289" s="1" t="n">
        <v>46224</v>
      </c>
      <c r="F289" t="inlineStr">
        <is>
          <t>KALMAR LÄN</t>
        </is>
      </c>
      <c r="G289" t="inlineStr">
        <is>
          <t>TORSÅS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46224</v>
      </c>
      <c r="F290" t="inlineStr">
        <is>
          <t>KALMAR LÄN</t>
        </is>
      </c>
      <c r="G290" t="inlineStr">
        <is>
          <t>TORSÅS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45182</v>
      </c>
      <c r="E291" s="1" t="n">
        <v>46224</v>
      </c>
      <c r="F291" t="inlineStr">
        <is>
          <t>KALMAR LÄN</t>
        </is>
      </c>
      <c r="G291" t="inlineStr">
        <is>
          <t>TORSÅS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46224</v>
      </c>
      <c r="F292" t="inlineStr">
        <is>
          <t>KALMAR LÄN</t>
        </is>
      </c>
      <c r="G292" t="inlineStr">
        <is>
          <t>TORSÅS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46224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45404</v>
      </c>
      <c r="E294" s="1" t="n">
        <v>46224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46224</v>
      </c>
      <c r="F295" t="inlineStr">
        <is>
          <t>KALMAR LÄN</t>
        </is>
      </c>
      <c r="G295" t="inlineStr">
        <is>
          <t>TORSÅS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19714-2022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44694</v>
      </c>
      <c r="E296" s="1" t="n">
        <v>46224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45308</v>
      </c>
      <c r="E297" s="1" t="n">
        <v>46224</v>
      </c>
      <c r="F297" t="inlineStr">
        <is>
          <t>KALMAR LÄN</t>
        </is>
      </c>
      <c r="G297" t="inlineStr">
        <is>
          <t>TORSÅS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46224</v>
      </c>
      <c r="F298" t="inlineStr">
        <is>
          <t>KALMAR LÄN</t>
        </is>
      </c>
      <c r="G298" t="inlineStr">
        <is>
          <t>TORSÅS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44988</v>
      </c>
      <c r="E299" s="1" t="n">
        <v>46224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45425</v>
      </c>
      <c r="E300" s="1" t="n">
        <v>46224</v>
      </c>
      <c r="F300" t="inlineStr">
        <is>
          <t>KALMAR LÄN</t>
        </is>
      </c>
      <c r="G300" t="inlineStr">
        <is>
          <t>TORSÅS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41566-2022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46224</v>
      </c>
      <c r="F301" t="inlineStr">
        <is>
          <t>KALMAR LÄN</t>
        </is>
      </c>
      <c r="G301" t="inlineStr">
        <is>
          <t>TORSÅS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46224</v>
      </c>
      <c r="F302" t="inlineStr">
        <is>
          <t>KALMAR LÄN</t>
        </is>
      </c>
      <c r="G302" t="inlineStr">
        <is>
          <t>TORSÅS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46224</v>
      </c>
      <c r="F303" t="inlineStr">
        <is>
          <t>KALMAR LÄN</t>
        </is>
      </c>
      <c r="G303" t="inlineStr">
        <is>
          <t>TORSÅS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46224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46224</v>
      </c>
      <c r="F305" t="inlineStr">
        <is>
          <t>KALMAR LÄN</t>
        </is>
      </c>
      <c r="G305" t="inlineStr">
        <is>
          <t>TORSÅS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46224</v>
      </c>
      <c r="F306" t="inlineStr">
        <is>
          <t>KALMAR LÄN</t>
        </is>
      </c>
      <c r="G306" t="inlineStr">
        <is>
          <t>TORSÅS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46224</v>
      </c>
      <c r="F307" t="inlineStr">
        <is>
          <t>KALMAR LÄN</t>
        </is>
      </c>
      <c r="G307" t="inlineStr">
        <is>
          <t>TORSÅS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46224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46224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46224</v>
      </c>
      <c r="F310" t="inlineStr">
        <is>
          <t>KALMAR LÄN</t>
        </is>
      </c>
      <c r="G310" t="inlineStr">
        <is>
          <t>TORSÅS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44883</v>
      </c>
      <c r="E311" s="1" t="n">
        <v>46224</v>
      </c>
      <c r="F311" t="inlineStr">
        <is>
          <t>KALMAR LÄN</t>
        </is>
      </c>
      <c r="G311" t="inlineStr">
        <is>
          <t>TORSÅS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44949</v>
      </c>
      <c r="E312" s="1" t="n">
        <v>46224</v>
      </c>
      <c r="F312" t="inlineStr">
        <is>
          <t>KALMAR LÄN</t>
        </is>
      </c>
      <c r="G312" t="inlineStr">
        <is>
          <t>TORSÅS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44992</v>
      </c>
      <c r="E313" s="1" t="n">
        <v>46224</v>
      </c>
      <c r="F313" t="inlineStr">
        <is>
          <t>KALMAR LÄN</t>
        </is>
      </c>
      <c r="G313" t="inlineStr">
        <is>
          <t>TORSÅS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37168-2023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46224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46224</v>
      </c>
      <c r="F315" t="inlineStr">
        <is>
          <t>KALMAR LÄN</t>
        </is>
      </c>
      <c r="G315" t="inlineStr">
        <is>
          <t>TORSÅS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45440</v>
      </c>
      <c r="E316" s="1" t="n">
        <v>46224</v>
      </c>
      <c r="F316" t="inlineStr">
        <is>
          <t>KALMAR LÄN</t>
        </is>
      </c>
      <c r="G316" t="inlineStr">
        <is>
          <t>TORSÅS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46224</v>
      </c>
      <c r="F317" t="inlineStr">
        <is>
          <t>KALMAR LÄN</t>
        </is>
      </c>
      <c r="G317" t="inlineStr">
        <is>
          <t>TORSÅS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13027-2026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46224</v>
      </c>
      <c r="F318" t="inlineStr">
        <is>
          <t>KALMAR LÄN</t>
        </is>
      </c>
      <c r="G318" t="inlineStr">
        <is>
          <t>TORSÅS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55675-2021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44476</v>
      </c>
      <c r="E319" s="1" t="n">
        <v>46224</v>
      </c>
      <c r="F319" t="inlineStr">
        <is>
          <t>KALMAR LÄN</t>
        </is>
      </c>
      <c r="G319" t="inlineStr">
        <is>
          <t>TORSÅS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46224</v>
      </c>
      <c r="F320" t="inlineStr">
        <is>
          <t>KALMAR LÄN</t>
        </is>
      </c>
      <c r="G320" t="inlineStr">
        <is>
          <t>TORSÅS</t>
        </is>
      </c>
      <c r="H320" t="inlineStr">
        <is>
          <t>Övriga Aktiebolag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38955-2021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44411</v>
      </c>
      <c r="E321" s="1" t="n">
        <v>46224</v>
      </c>
      <c r="F321" t="inlineStr">
        <is>
          <t>KALMAR LÄN</t>
        </is>
      </c>
      <c r="G321" t="inlineStr">
        <is>
          <t>TORSÅS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46224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44893</v>
      </c>
      <c r="E323" s="1" t="n">
        <v>46224</v>
      </c>
      <c r="F323" t="inlineStr">
        <is>
          <t>KALMAR LÄN</t>
        </is>
      </c>
      <c r="G323" t="inlineStr">
        <is>
          <t>TORSÅS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41452-2022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46224</v>
      </c>
      <c r="F324" t="inlineStr">
        <is>
          <t>KALMAR LÄN</t>
        </is>
      </c>
      <c r="G324" t="inlineStr">
        <is>
          <t>TORSÅS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44725</v>
      </c>
      <c r="E325" s="1" t="n">
        <v>46224</v>
      </c>
      <c r="F325" t="inlineStr">
        <is>
          <t>KALMAR LÄN</t>
        </is>
      </c>
      <c r="G325" t="inlineStr">
        <is>
          <t>TORSÅS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46224</v>
      </c>
      <c r="F326" t="inlineStr">
        <is>
          <t>KALMAR LÄN</t>
        </is>
      </c>
      <c r="G326" t="inlineStr">
        <is>
          <t>TORSÅS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46224</v>
      </c>
      <c r="F327" t="inlineStr">
        <is>
          <t>KALMAR LÄN</t>
        </is>
      </c>
      <c r="G327" t="inlineStr">
        <is>
          <t>TORSÅS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46224</v>
      </c>
      <c r="F328" t="inlineStr">
        <is>
          <t>KALMAR LÄN</t>
        </is>
      </c>
      <c r="G328" t="inlineStr">
        <is>
          <t>TORSÅS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68493-2021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44529</v>
      </c>
      <c r="E329" s="1" t="n">
        <v>46224</v>
      </c>
      <c r="F329" t="inlineStr">
        <is>
          <t>KALMAR LÄN</t>
        </is>
      </c>
      <c r="G329" t="inlineStr">
        <is>
          <t>TORSÅS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46224</v>
      </c>
      <c r="F330" t="inlineStr">
        <is>
          <t>KALMAR LÄN</t>
        </is>
      </c>
      <c r="G330" t="inlineStr">
        <is>
          <t>TORSÅS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46224</v>
      </c>
      <c r="F331" t="inlineStr">
        <is>
          <t>KALMAR LÄN</t>
        </is>
      </c>
      <c r="G331" t="inlineStr">
        <is>
          <t>TORSÅS</t>
        </is>
      </c>
      <c r="I331" t="n">
        <v>15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46224</v>
      </c>
      <c r="F332" t="inlineStr">
        <is>
          <t>KALMAR LÄN</t>
        </is>
      </c>
      <c r="G332" t="inlineStr">
        <is>
          <t>TORSÅS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45113</v>
      </c>
      <c r="E333" s="1" t="n">
        <v>46224</v>
      </c>
      <c r="F333" t="inlineStr">
        <is>
          <t>KALMAR LÄN</t>
        </is>
      </c>
      <c r="G333" t="inlineStr">
        <is>
          <t>TORSÅS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46224</v>
      </c>
      <c r="F334" t="inlineStr">
        <is>
          <t>KALMAR LÄN</t>
        </is>
      </c>
      <c r="G334" t="inlineStr">
        <is>
          <t>TORSÅS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26696-2023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45093</v>
      </c>
      <c r="E335" s="1" t="n">
        <v>46224</v>
      </c>
      <c r="F335" t="inlineStr">
        <is>
          <t>KALMAR LÄN</t>
        </is>
      </c>
      <c r="G335" t="inlineStr">
        <is>
          <t>TORSÅS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26707-2023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46224</v>
      </c>
      <c r="F336" t="inlineStr">
        <is>
          <t>KALMAR LÄN</t>
        </is>
      </c>
      <c r="G336" t="inlineStr">
        <is>
          <t>TORSÅS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46224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53976-2022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44881</v>
      </c>
      <c r="E338" s="1" t="n">
        <v>46224</v>
      </c>
      <c r="F338" t="inlineStr">
        <is>
          <t>KALMAR LÄN</t>
        </is>
      </c>
      <c r="G338" t="inlineStr">
        <is>
          <t>TORSÅS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46224</v>
      </c>
      <c r="F339" t="inlineStr">
        <is>
          <t>KALMAR LÄN</t>
        </is>
      </c>
      <c r="G339" t="inlineStr">
        <is>
          <t>TORSÅS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46224</v>
      </c>
      <c r="F340" t="inlineStr">
        <is>
          <t>KALMAR LÄN</t>
        </is>
      </c>
      <c r="G340" t="inlineStr">
        <is>
          <t>TORSÅS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46224</v>
      </c>
      <c r="F341" t="inlineStr">
        <is>
          <t>KALMAR LÄN</t>
        </is>
      </c>
      <c r="G341" t="inlineStr">
        <is>
          <t>TORSÅS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46224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45161</v>
      </c>
      <c r="E343" s="1" t="n">
        <v>46224</v>
      </c>
      <c r="F343" t="inlineStr">
        <is>
          <t>KALMAR LÄN</t>
        </is>
      </c>
      <c r="G343" t="inlineStr">
        <is>
          <t>TORSÅS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45084</v>
      </c>
      <c r="E344" s="1" t="n">
        <v>46224</v>
      </c>
      <c r="F344" t="inlineStr">
        <is>
          <t>KALMAR LÄN</t>
        </is>
      </c>
      <c r="G344" t="inlineStr">
        <is>
          <t>TORSÅS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46224</v>
      </c>
      <c r="F345" t="inlineStr">
        <is>
          <t>KALMAR LÄN</t>
        </is>
      </c>
      <c r="G345" t="inlineStr">
        <is>
          <t>TORSÅS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53571-2021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44468</v>
      </c>
      <c r="E346" s="1" t="n">
        <v>46224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46224</v>
      </c>
      <c r="F347" t="inlineStr">
        <is>
          <t>KALMAR LÄN</t>
        </is>
      </c>
      <c r="G347" t="inlineStr">
        <is>
          <t>TORSÅS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44958</v>
      </c>
      <c r="E348" s="1" t="n">
        <v>46224</v>
      </c>
      <c r="F348" t="inlineStr">
        <is>
          <t>KALMAR LÄN</t>
        </is>
      </c>
      <c r="G348" t="inlineStr">
        <is>
          <t>TORSÅS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46146</v>
      </c>
      <c r="E349" s="1" t="n">
        <v>46224</v>
      </c>
      <c r="F349" t="inlineStr">
        <is>
          <t>KALMAR LÄN</t>
        </is>
      </c>
      <c r="G349" t="inlineStr">
        <is>
          <t>TORSÅS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46224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46224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46224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44739</v>
      </c>
      <c r="E353" s="1" t="n">
        <v>46224</v>
      </c>
      <c r="F353" t="inlineStr">
        <is>
          <t>KALMAR LÄN</t>
        </is>
      </c>
      <c r="G353" t="inlineStr">
        <is>
          <t>TORSÅS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46224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46224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23776-2022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46224</v>
      </c>
      <c r="F356" t="inlineStr">
        <is>
          <t>KALMAR LÄN</t>
        </is>
      </c>
      <c r="G356" t="inlineStr">
        <is>
          <t>TORSÅS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50208-2021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44457</v>
      </c>
      <c r="E357" s="1" t="n">
        <v>46224</v>
      </c>
      <c r="F357" t="inlineStr">
        <is>
          <t>KALMAR LÄN</t>
        </is>
      </c>
      <c r="G357" t="inlineStr">
        <is>
          <t>TORSÅS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46224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44790</v>
      </c>
      <c r="E359" s="1" t="n">
        <v>46224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46224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46224</v>
      </c>
      <c r="F361" t="inlineStr">
        <is>
          <t>KALMAR LÄN</t>
        </is>
      </c>
      <c r="G361" t="inlineStr">
        <is>
          <t>TORSÅS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46224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46224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18694-2024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46224</v>
      </c>
      <c r="F364" t="inlineStr">
        <is>
          <t>KALMAR LÄN</t>
        </is>
      </c>
      <c r="G364" t="inlineStr">
        <is>
          <t>TORSÅS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44949</v>
      </c>
      <c r="E365" s="1" t="n">
        <v>46224</v>
      </c>
      <c r="F365" t="inlineStr">
        <is>
          <t>KALMAR LÄN</t>
        </is>
      </c>
      <c r="G365" t="inlineStr">
        <is>
          <t>TORSÅS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46224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39728-2024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45552</v>
      </c>
      <c r="E367" s="1" t="n">
        <v>46224</v>
      </c>
      <c r="F367" t="inlineStr">
        <is>
          <t>KALMAR LÄN</t>
        </is>
      </c>
      <c r="G367" t="inlineStr">
        <is>
          <t>TORSÅS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44950</v>
      </c>
      <c r="E368" s="1" t="n">
        <v>46224</v>
      </c>
      <c r="F368" t="inlineStr">
        <is>
          <t>KALMAR LÄN</t>
        </is>
      </c>
      <c r="G368" t="inlineStr">
        <is>
          <t>TORSÅS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46224</v>
      </c>
      <c r="F369" t="inlineStr">
        <is>
          <t>KALMAR LÄN</t>
        </is>
      </c>
      <c r="G369" t="inlineStr">
        <is>
          <t>TORSÅS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45008</v>
      </c>
      <c r="E370" s="1" t="n">
        <v>46224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45178</v>
      </c>
      <c r="E371" s="1" t="n">
        <v>46224</v>
      </c>
      <c r="F371" t="inlineStr">
        <is>
          <t>KALMAR LÄN</t>
        </is>
      </c>
      <c r="G371" t="inlineStr">
        <is>
          <t>TORSÅS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44637</v>
      </c>
      <c r="E372" s="1" t="n">
        <v>46224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46224</v>
      </c>
      <c r="F373" t="inlineStr">
        <is>
          <t>KALMAR LÄN</t>
        </is>
      </c>
      <c r="G373" t="inlineStr">
        <is>
          <t>TORSÅS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45695</v>
      </c>
      <c r="E374" s="1" t="n">
        <v>46224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44851</v>
      </c>
      <c r="E375" s="1" t="n">
        <v>46224</v>
      </c>
      <c r="F375" t="inlineStr">
        <is>
          <t>KALMAR LÄN</t>
        </is>
      </c>
      <c r="G375" t="inlineStr">
        <is>
          <t>TORSÅS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66543-2021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44519</v>
      </c>
      <c r="E376" s="1" t="n">
        <v>46224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64348-2021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44511</v>
      </c>
      <c r="E377" s="1" t="n">
        <v>46224</v>
      </c>
      <c r="F377" t="inlineStr">
        <is>
          <t>KALMAR LÄN</t>
        </is>
      </c>
      <c r="G377" t="inlineStr">
        <is>
          <t>TORSÅS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46224</v>
      </c>
      <c r="F378" t="inlineStr">
        <is>
          <t>KALMAR LÄN</t>
        </is>
      </c>
      <c r="G378" t="inlineStr">
        <is>
          <t>TORSÅS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46224</v>
      </c>
      <c r="F379" t="inlineStr">
        <is>
          <t>KALMAR LÄN</t>
        </is>
      </c>
      <c r="G379" t="inlineStr">
        <is>
          <t>TORSÅS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44640</v>
      </c>
      <c r="E380" s="1" t="n">
        <v>46224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45082</v>
      </c>
      <c r="E381" s="1" t="n">
        <v>46224</v>
      </c>
      <c r="F381" t="inlineStr">
        <is>
          <t>KALMAR LÄN</t>
        </is>
      </c>
      <c r="G381" t="inlineStr">
        <is>
          <t>TORSÅS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18718-2024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45426</v>
      </c>
      <c r="E382" s="1" t="n">
        <v>46224</v>
      </c>
      <c r="F382" t="inlineStr">
        <is>
          <t>KALMAR LÄN</t>
        </is>
      </c>
      <c r="G382" t="inlineStr">
        <is>
          <t>TORSÅS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45012</v>
      </c>
      <c r="E383" s="1" t="n">
        <v>46224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46224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46224</v>
      </c>
      <c r="F385" t="inlineStr">
        <is>
          <t>KALMAR LÄN</t>
        </is>
      </c>
      <c r="G385" t="inlineStr">
        <is>
          <t>TORSÅS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45716</v>
      </c>
      <c r="E386" s="1" t="n">
        <v>46224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45219</v>
      </c>
      <c r="E387" s="1" t="n">
        <v>46224</v>
      </c>
      <c r="F387" t="inlineStr">
        <is>
          <t>KALMAR LÄN</t>
        </is>
      </c>
      <c r="G387" t="inlineStr">
        <is>
          <t>TORSÅS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45225</v>
      </c>
      <c r="E388" s="1" t="n">
        <v>46224</v>
      </c>
      <c r="F388" t="inlineStr">
        <is>
          <t>KALMAR LÄN</t>
        </is>
      </c>
      <c r="G388" t="inlineStr">
        <is>
          <t>TORSÅS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52072-2023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45223</v>
      </c>
      <c r="E389" s="1" t="n">
        <v>46224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64373-2023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45280</v>
      </c>
      <c r="E390" s="1" t="n">
        <v>46224</v>
      </c>
      <c r="F390" t="inlineStr">
        <is>
          <t>KALMAR LÄN</t>
        </is>
      </c>
      <c r="G390" t="inlineStr">
        <is>
          <t>TORSÅS</t>
        </is>
      </c>
      <c r="I390" t="n">
        <v>19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32525-2024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45513</v>
      </c>
      <c r="E391" s="1" t="n">
        <v>46224</v>
      </c>
      <c r="F391" t="inlineStr">
        <is>
          <t>KALMAR LÄN</t>
        </is>
      </c>
      <c r="G391" t="inlineStr">
        <is>
          <t>TORSÅS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32532-2024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45513</v>
      </c>
      <c r="E392" s="1" t="n">
        <v>46224</v>
      </c>
      <c r="F392" t="inlineStr">
        <is>
          <t>KALMAR LÄN</t>
        </is>
      </c>
      <c r="G392" t="inlineStr">
        <is>
          <t>TORSÅS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46224</v>
      </c>
      <c r="F393" t="inlineStr">
        <is>
          <t>KALMAR LÄN</t>
        </is>
      </c>
      <c r="G393" t="inlineStr">
        <is>
          <t>TORSÅS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45370</v>
      </c>
      <c r="E394" s="1" t="n">
        <v>46224</v>
      </c>
      <c r="F394" t="inlineStr">
        <is>
          <t>KALMAR LÄN</t>
        </is>
      </c>
      <c r="G394" t="inlineStr">
        <is>
          <t>TORSÅS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46224</v>
      </c>
      <c r="F395" t="inlineStr">
        <is>
          <t>KALMAR LÄN</t>
        </is>
      </c>
      <c r="G395" t="inlineStr">
        <is>
          <t>TORSÅS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46224</v>
      </c>
      <c r="F396" t="inlineStr">
        <is>
          <t>KALMAR LÄN</t>
        </is>
      </c>
      <c r="G396" t="inlineStr">
        <is>
          <t>TORSÅS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46224</v>
      </c>
      <c r="F397" t="inlineStr">
        <is>
          <t>KALMAR LÄN</t>
        </is>
      </c>
      <c r="G397" t="inlineStr">
        <is>
          <t>TORSÅS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46224</v>
      </c>
      <c r="F398" t="inlineStr">
        <is>
          <t>KALMAR LÄN</t>
        </is>
      </c>
      <c r="G398" t="inlineStr">
        <is>
          <t>TORSÅS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46224</v>
      </c>
      <c r="F399" t="inlineStr">
        <is>
          <t>KALMAR LÄN</t>
        </is>
      </c>
      <c r="G399" t="inlineStr">
        <is>
          <t>TORSÅS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46224</v>
      </c>
      <c r="F400" t="inlineStr">
        <is>
          <t>KALMAR LÄN</t>
        </is>
      </c>
      <c r="G400" t="inlineStr">
        <is>
          <t>TORSÅS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45324</v>
      </c>
      <c r="E401" s="1" t="n">
        <v>46224</v>
      </c>
      <c r="F401" t="inlineStr">
        <is>
          <t>KALMAR LÄN</t>
        </is>
      </c>
      <c r="G401" t="inlineStr">
        <is>
          <t>TORSÅS</t>
        </is>
      </c>
      <c r="H401" t="inlineStr">
        <is>
          <t>Övriga Aktiebolag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46224</v>
      </c>
      <c r="F402" t="inlineStr">
        <is>
          <t>KALMAR LÄN</t>
        </is>
      </c>
      <c r="G402" t="inlineStr">
        <is>
          <t>TORSÅS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46224</v>
      </c>
      <c r="F403" t="inlineStr">
        <is>
          <t>KALMAR LÄN</t>
        </is>
      </c>
      <c r="G403" t="inlineStr">
        <is>
          <t>TORSÅS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45798</v>
      </c>
      <c r="E404" s="1" t="n">
        <v>46224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46224</v>
      </c>
      <c r="F405" t="inlineStr">
        <is>
          <t>KALMAR LÄN</t>
        </is>
      </c>
      <c r="G405" t="inlineStr">
        <is>
          <t>TORSÅS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46224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46224</v>
      </c>
      <c r="F407" t="inlineStr">
        <is>
          <t>KALMAR LÄN</t>
        </is>
      </c>
      <c r="G407" t="inlineStr">
        <is>
          <t>TORSÅS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44657</v>
      </c>
      <c r="E408" s="1" t="n">
        <v>46224</v>
      </c>
      <c r="F408" t="inlineStr">
        <is>
          <t>KALMAR LÄN</t>
        </is>
      </c>
      <c r="G408" t="inlineStr">
        <is>
          <t>TORSÅS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45568-2023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45194</v>
      </c>
      <c r="E409" s="1" t="n">
        <v>46224</v>
      </c>
      <c r="F409" t="inlineStr">
        <is>
          <t>KALMAR LÄN</t>
        </is>
      </c>
      <c r="G409" t="inlineStr">
        <is>
          <t>TORSÅS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46224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42897-2023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45182</v>
      </c>
      <c r="E411" s="1" t="n">
        <v>46224</v>
      </c>
      <c r="F411" t="inlineStr">
        <is>
          <t>KALMAR LÄN</t>
        </is>
      </c>
      <c r="G411" t="inlineStr">
        <is>
          <t>TORSÅS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9676-2024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46224</v>
      </c>
      <c r="F412" t="inlineStr">
        <is>
          <t>KALMAR LÄN</t>
        </is>
      </c>
      <c r="G412" t="inlineStr">
        <is>
          <t>TORSÅS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44984</v>
      </c>
      <c r="E413" s="1" t="n">
        <v>46224</v>
      </c>
      <c r="F413" t="inlineStr">
        <is>
          <t>KALMAR LÄN</t>
        </is>
      </c>
      <c r="G413" t="inlineStr">
        <is>
          <t>TORSÅS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61260-2024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45645</v>
      </c>
      <c r="E414" s="1" t="n">
        <v>46224</v>
      </c>
      <c r="F414" t="inlineStr">
        <is>
          <t>KALMAR LÄN</t>
        </is>
      </c>
      <c r="G414" t="inlineStr">
        <is>
          <t>TORSÅS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44502</v>
      </c>
      <c r="E415" s="1" t="n">
        <v>46224</v>
      </c>
      <c r="F415" t="inlineStr">
        <is>
          <t>KALMAR LÄN</t>
        </is>
      </c>
      <c r="G415" t="inlineStr">
        <is>
          <t>TORSÅS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45027</v>
      </c>
      <c r="E416" s="1" t="n">
        <v>46224</v>
      </c>
      <c r="F416" t="inlineStr">
        <is>
          <t>KALMAR LÄN</t>
        </is>
      </c>
      <c r="G416" t="inlineStr">
        <is>
          <t>TORSÅS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46224</v>
      </c>
      <c r="F417" t="inlineStr">
        <is>
          <t>KALMAR LÄN</t>
        </is>
      </c>
      <c r="G417" t="inlineStr">
        <is>
          <t>TORSÅS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46217</v>
      </c>
      <c r="E418" s="1" t="n">
        <v>46224</v>
      </c>
      <c r="F418" t="inlineStr">
        <is>
          <t>KALMAR LÄN</t>
        </is>
      </c>
      <c r="G418" t="inlineStr">
        <is>
          <t>TORSÅS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45977</v>
      </c>
      <c r="E419" s="1" t="n">
        <v>46224</v>
      </c>
      <c r="F419" t="inlineStr">
        <is>
          <t>KALMAR LÄN</t>
        </is>
      </c>
      <c r="G419" t="inlineStr">
        <is>
          <t>TORSÅS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46224</v>
      </c>
      <c r="F420" t="inlineStr">
        <is>
          <t>KALMAR LÄN</t>
        </is>
      </c>
      <c r="G420" t="inlineStr">
        <is>
          <t>TORSÅS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46224</v>
      </c>
      <c r="F421" t="inlineStr">
        <is>
          <t>KALMAR LÄN</t>
        </is>
      </c>
      <c r="G421" t="inlineStr">
        <is>
          <t>TORSÅS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46224</v>
      </c>
      <c r="F422" t="inlineStr">
        <is>
          <t>KALMAR LÄN</t>
        </is>
      </c>
      <c r="G422" t="inlineStr">
        <is>
          <t>TORSÅS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46224</v>
      </c>
      <c r="F423" t="inlineStr">
        <is>
          <t>KALMAR LÄN</t>
        </is>
      </c>
      <c r="G423" t="inlineStr">
        <is>
          <t>TORSÅS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25072-2026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46174</v>
      </c>
      <c r="E424" s="1" t="n">
        <v>46224</v>
      </c>
      <c r="F424" t="inlineStr">
        <is>
          <t>KALMAR LÄN</t>
        </is>
      </c>
      <c r="G424" t="inlineStr">
        <is>
          <t>TORSÅS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45253</v>
      </c>
      <c r="E425" s="1" t="n">
        <v>46224</v>
      </c>
      <c r="F425" t="inlineStr">
        <is>
          <t>KALMAR LÄN</t>
        </is>
      </c>
      <c r="G425" t="inlineStr">
        <is>
          <t>TORSÅS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46224</v>
      </c>
      <c r="F426" t="inlineStr">
        <is>
          <t>KALMAR LÄN</t>
        </is>
      </c>
      <c r="G426" t="inlineStr">
        <is>
          <t>TORSÅS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46224</v>
      </c>
      <c r="F427" t="inlineStr">
        <is>
          <t>KALMAR LÄN</t>
        </is>
      </c>
      <c r="G427" t="inlineStr">
        <is>
          <t>TORSÅS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45352</v>
      </c>
      <c r="E428" s="1" t="n">
        <v>46224</v>
      </c>
      <c r="F428" t="inlineStr">
        <is>
          <t>KALMAR LÄN</t>
        </is>
      </c>
      <c r="G428" t="inlineStr">
        <is>
          <t>TORSÅS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45198</v>
      </c>
      <c r="E429" s="1" t="n">
        <v>46224</v>
      </c>
      <c r="F429" t="inlineStr">
        <is>
          <t>KALMAR LÄN</t>
        </is>
      </c>
      <c r="G429" t="inlineStr">
        <is>
          <t>TORSÅS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46224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45167</v>
      </c>
      <c r="E431" s="1" t="n">
        <v>46224</v>
      </c>
      <c r="F431" t="inlineStr">
        <is>
          <t>KALMAR LÄN</t>
        </is>
      </c>
      <c r="G431" t="inlineStr">
        <is>
          <t>TORSÅS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46224</v>
      </c>
      <c r="F432" t="inlineStr">
        <is>
          <t>KALMAR LÄN</t>
        </is>
      </c>
      <c r="G432" t="inlineStr">
        <is>
          <t>TORSÅS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46224</v>
      </c>
      <c r="F433" t="inlineStr">
        <is>
          <t>KALMAR LÄN</t>
        </is>
      </c>
      <c r="G433" t="inlineStr">
        <is>
          <t>TORSÅS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44986</v>
      </c>
      <c r="E434" s="1" t="n">
        <v>46224</v>
      </c>
      <c r="F434" t="inlineStr">
        <is>
          <t>KALMAR LÄN</t>
        </is>
      </c>
      <c r="G434" t="inlineStr">
        <is>
          <t>TORSÅS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46224</v>
      </c>
      <c r="F435" t="inlineStr">
        <is>
          <t>KALMAR LÄN</t>
        </is>
      </c>
      <c r="G435" t="inlineStr">
        <is>
          <t>TORSÅS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45299</v>
      </c>
      <c r="E436" s="1" t="n">
        <v>46224</v>
      </c>
      <c r="F436" t="inlineStr">
        <is>
          <t>KALMAR LÄN</t>
        </is>
      </c>
      <c r="G436" t="inlineStr">
        <is>
          <t>TORSÅS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46224</v>
      </c>
      <c r="F437" t="inlineStr">
        <is>
          <t>KALMAR LÄN</t>
        </is>
      </c>
      <c r="G437" t="inlineStr">
        <is>
          <t>TORSÅS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45694</v>
      </c>
      <c r="E438" s="1" t="n">
        <v>46224</v>
      </c>
      <c r="F438" t="inlineStr">
        <is>
          <t>KALMAR LÄN</t>
        </is>
      </c>
      <c r="G438" t="inlineStr">
        <is>
          <t>TORSÅS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46224</v>
      </c>
      <c r="F439" t="inlineStr">
        <is>
          <t>KALMAR LÄN</t>
        </is>
      </c>
      <c r="G439" t="inlineStr">
        <is>
          <t>TORSÅS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46224</v>
      </c>
      <c r="F440" t="inlineStr">
        <is>
          <t>KALMAR LÄN</t>
        </is>
      </c>
      <c r="G440" t="inlineStr">
        <is>
          <t>TORSÅS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46224</v>
      </c>
      <c r="F441" t="inlineStr">
        <is>
          <t>KALMAR LÄN</t>
        </is>
      </c>
      <c r="G441" t="inlineStr">
        <is>
          <t>TORSÅS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46224</v>
      </c>
      <c r="F442" t="inlineStr">
        <is>
          <t>KALMAR LÄN</t>
        </is>
      </c>
      <c r="G442" t="inlineStr">
        <is>
          <t>TORSÅS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3937-2023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45235</v>
      </c>
      <c r="E443" s="1" t="n">
        <v>46224</v>
      </c>
      <c r="F443" t="inlineStr">
        <is>
          <t>KALMAR LÄN</t>
        </is>
      </c>
      <c r="G443" t="inlineStr">
        <is>
          <t>TORSÅS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45316</v>
      </c>
      <c r="E444" s="1" t="n">
        <v>46224</v>
      </c>
      <c r="F444" t="inlineStr">
        <is>
          <t>KALMAR LÄN</t>
        </is>
      </c>
      <c r="G444" t="inlineStr">
        <is>
          <t>TORSÅS</t>
        </is>
      </c>
      <c r="I444" t="n">
        <v>17.6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3287-2024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45527</v>
      </c>
      <c r="E445" s="1" t="n">
        <v>46224</v>
      </c>
      <c r="F445" t="inlineStr">
        <is>
          <t>KALMAR LÄN</t>
        </is>
      </c>
      <c r="G445" t="inlineStr">
        <is>
          <t>TORSÅS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1844-2024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46224</v>
      </c>
      <c r="F446" t="inlineStr">
        <is>
          <t>KALMAR LÄN</t>
        </is>
      </c>
      <c r="G446" t="inlineStr">
        <is>
          <t>TORSÅS</t>
        </is>
      </c>
      <c r="I446" t="n">
        <v>15.7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1824-2022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44658</v>
      </c>
      <c r="E447" s="1" t="n">
        <v>46224</v>
      </c>
      <c r="F447" t="inlineStr">
        <is>
          <t>KALMAR LÄN</t>
        </is>
      </c>
      <c r="G447" t="inlineStr">
        <is>
          <t>TORSÅS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46224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46224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46224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46224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46224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46224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46224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46224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46224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46224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46224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46224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46224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46224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46224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46224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46224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46224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46224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46224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2026-07-21T01:40:15Z</dcterms:created>
  <dcterms:modified xmlns:dcterms="http://purl.org/dc/terms/" xmlns:xsi="http://www.w3.org/2001/XMLSchema-instance" xsi:type="dcterms:W3CDTF">2026-07-21T01:40:15Z</dcterms:modified>
</cp:coreProperties>
</file>