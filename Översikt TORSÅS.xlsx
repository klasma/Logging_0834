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46323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46323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46323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18694-2024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45426</v>
      </c>
      <c r="E5" s="1" t="n">
        <v>46323</v>
      </c>
      <c r="F5" t="inlineStr">
        <is>
          <t>KALMAR LÄN</t>
        </is>
      </c>
      <c r="G5" t="inlineStr">
        <is>
          <t>TORSÅS</t>
        </is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Blåmossa
Grovticka
Spillkråka
Revlummer</t>
        </is>
      </c>
      <c r="W5">
        <f>HYPERLINK("https://klasma.github.io/Logging_0834/artfynd/A 18694-2024 artfynd.xlsx", "A 18694-2024")</f>
        <v/>
      </c>
      <c r="X5">
        <f>HYPERLINK("https://klasma.github.io/Logging_0834/kartor/A 18694-2024 karta.png", "A 18694-2024")</f>
        <v/>
      </c>
      <c r="Y5">
        <f>HYPERLINK("https://klasma.github.io/Logging_0834/kartor_geotiff/A 18694-2024 georefererad karta.tif", "A 18694-2024")</f>
        <v/>
      </c>
      <c r="AA5">
        <f>HYPERLINK("https://klasma.github.io/Logging_0834/klagomål/A 18694-2024 FSC-klagomål.docx", "A 18694-2024")</f>
        <v/>
      </c>
      <c r="AB5">
        <f>HYPERLINK("https://klasma.github.io/Logging_0834/klagomålsmail/A 18694-2024 FSC-klagomål mail.docx", "A 18694-2024")</f>
        <v/>
      </c>
      <c r="AC5">
        <f>HYPERLINK("https://klasma.github.io/Logging_0834/tillsyn/A 18694-2024 tillsynsbegäran.docx", "A 18694-2024")</f>
        <v/>
      </c>
      <c r="AD5">
        <f>HYPERLINK("https://klasma.github.io/Logging_0834/tillsynsmail/A 18694-2024 tillsynsbegäran mail.docx", "A 18694-2024")</f>
        <v/>
      </c>
      <c r="AE5">
        <f>HYPERLINK("https://klasma.github.io/Logging_0834/fåglar/A 18694-2024 prioriterade fågelarter.docx", "A 18694-2024")</f>
        <v/>
      </c>
    </row>
    <row r="6" ht="15" customHeight="1">
      <c r="A6" t="inlineStr">
        <is>
          <t>A 40199-2026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46293</v>
      </c>
      <c r="E6" s="1" t="n">
        <v>46323</v>
      </c>
      <c r="F6" t="inlineStr">
        <is>
          <t>KALMAR LÄN</t>
        </is>
      </c>
      <c r="G6" t="inlineStr">
        <is>
          <t>TORSÅS</t>
        </is>
      </c>
      <c r="I6" t="n">
        <v>1.1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Slåtterfibbla
Tvåblad
Underviol
Gullviva</t>
        </is>
      </c>
      <c r="W6">
        <f>HYPERLINK("https://klasma.github.io/Logging_0834/artfynd/A 40199-2026 artfynd.xlsx", "A 40199-2026")</f>
        <v/>
      </c>
      <c r="X6">
        <f>HYPERLINK("https://klasma.github.io/Logging_0834/kartor/A 40199-2026 karta.png", "A 40199-2026")</f>
        <v/>
      </c>
      <c r="Y6">
        <f>HYPERLINK("https://klasma.github.io/Logging_0834/kartor_geotiff/A 40199-2026 georefererad karta.tif", "A 40199-2026")</f>
        <v/>
      </c>
      <c r="AA6">
        <f>HYPERLINK("https://klasma.github.io/Logging_0834/klagomål/A 40199-2026 FSC-klagomål.docx", "A 40199-2026")</f>
        <v/>
      </c>
      <c r="AB6">
        <f>HYPERLINK("https://klasma.github.io/Logging_0834/klagomålsmail/A 40199-2026 FSC-klagomål mail.docx", "A 40199-2026")</f>
        <v/>
      </c>
      <c r="AC6">
        <f>HYPERLINK("https://klasma.github.io/Logging_0834/tillsyn/A 40199-2026 tillsynsbegäran.docx", "A 40199-2026")</f>
        <v/>
      </c>
      <c r="AD6">
        <f>HYPERLINK("https://klasma.github.io/Logging_0834/tillsynsmail/A 40199-2026 tillsynsbegäran mail.docx", "A 40199-2026")</f>
        <v/>
      </c>
    </row>
    <row r="7" ht="15" customHeight="1">
      <c r="A7" t="inlineStr">
        <is>
          <t>A 28946-2025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45820</v>
      </c>
      <c r="E7" s="1" t="n">
        <v>46323</v>
      </c>
      <c r="F7" t="inlineStr">
        <is>
          <t>KALMAR LÄN</t>
        </is>
      </c>
      <c r="G7" t="inlineStr">
        <is>
          <t>TORSÅS</t>
        </is>
      </c>
      <c r="I7" t="n">
        <v>4.1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Korskovall
Krusfrö
Vippärt
Blåsippa</t>
        </is>
      </c>
      <c r="W7">
        <f>HYPERLINK("https://klasma.github.io/Logging_0834/artfynd/A 28946-2025 artfynd.xlsx", "A 28946-2025")</f>
        <v/>
      </c>
      <c r="X7">
        <f>HYPERLINK("https://klasma.github.io/Logging_0834/kartor/A 28946-2025 karta.png", "A 28946-2025")</f>
        <v/>
      </c>
      <c r="Y7">
        <f>HYPERLINK("https://klasma.github.io/Logging_0834/kartor_geotiff/A 28946-2025 georefererad karta.tif", "A 28946-2025")</f>
        <v/>
      </c>
      <c r="AA7">
        <f>HYPERLINK("https://klasma.github.io/Logging_0834/klagomål/A 28946-2025 FSC-klagomål.docx", "A 28946-2025")</f>
        <v/>
      </c>
      <c r="AB7">
        <f>HYPERLINK("https://klasma.github.io/Logging_0834/klagomålsmail/A 28946-2025 FSC-klagomål mail.docx", "A 28946-2025")</f>
        <v/>
      </c>
      <c r="AC7">
        <f>HYPERLINK("https://klasma.github.io/Logging_0834/tillsyn/A 28946-2025 tillsynsbegäran.docx", "A 28946-2025")</f>
        <v/>
      </c>
      <c r="AD7">
        <f>HYPERLINK("https://klasma.github.io/Logging_0834/tillsynsmail/A 28946-2025 tillsynsbegäran mail.docx", "A 28946-2025")</f>
        <v/>
      </c>
    </row>
    <row r="8" ht="15" customHeight="1">
      <c r="A8" t="inlineStr">
        <is>
          <t>A 24660-2025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46323</v>
      </c>
      <c r="F8" t="inlineStr">
        <is>
          <t>KALMAR LÄN</t>
        </is>
      </c>
      <c r="G8" t="inlineStr">
        <is>
          <t>TORSÅS</t>
        </is>
      </c>
      <c r="I8" t="n">
        <v>2.3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Sydpipistrell
Nordfladdermus
Dvärgpipistrell
Större brunfladdermus</t>
        </is>
      </c>
      <c r="W8">
        <f>HYPERLINK("https://klasma.github.io/Logging_0834/artfynd/A 24660-2025 artfynd.xlsx", "A 24660-2025")</f>
        <v/>
      </c>
      <c r="X8">
        <f>HYPERLINK("https://klasma.github.io/Logging_0834/kartor/A 24660-2025 karta.png", "A 24660-2025")</f>
        <v/>
      </c>
      <c r="Y8">
        <f>HYPERLINK("https://klasma.github.io/Logging_0834/kartor_geotiff/A 24660-2025 georefererad karta.tif", "A 24660-2025")</f>
        <v/>
      </c>
      <c r="AA8">
        <f>HYPERLINK("https://klasma.github.io/Logging_0834/klagomål/A 24660-2025 FSC-klagomål.docx", "A 24660-2025")</f>
        <v/>
      </c>
      <c r="AB8">
        <f>HYPERLINK("https://klasma.github.io/Logging_0834/klagomålsmail/A 24660-2025 FSC-klagomål mail.docx", "A 24660-2025")</f>
        <v/>
      </c>
      <c r="AC8">
        <f>HYPERLINK("https://klasma.github.io/Logging_0834/tillsyn/A 24660-2025 tillsynsbegäran.docx", "A 24660-2025")</f>
        <v/>
      </c>
      <c r="AD8">
        <f>HYPERLINK("https://klasma.github.io/Logging_0834/tillsynsmail/A 24660-2025 tillsynsbegäran mail.docx", "A 24660-2025")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46323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46323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46323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46323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46323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46323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46323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46323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46323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46323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46323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46323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46323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46323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46323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46323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46323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46323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46323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2132-2025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45672</v>
      </c>
      <c r="E28" s="1" t="n">
        <v>46323</v>
      </c>
      <c r="F28" t="inlineStr">
        <is>
          <t>KALMAR LÄN</t>
        </is>
      </c>
      <c r="G28" t="inlineStr">
        <is>
          <t>TORSÅS</t>
        </is>
      </c>
      <c r="I28" t="n">
        <v>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Krusfrö</t>
        </is>
      </c>
      <c r="W28">
        <f>HYPERLINK("https://klasma.github.io/Logging_0834/artfynd/A 2132-2025 artfynd.xlsx", "A 2132-2025")</f>
        <v/>
      </c>
      <c r="X28">
        <f>HYPERLINK("https://klasma.github.io/Logging_0834/kartor/A 2132-2025 karta.png", "A 2132-2025")</f>
        <v/>
      </c>
      <c r="Y28">
        <f>HYPERLINK("https://klasma.github.io/Logging_0834/kartor_geotiff/A 2132-2025 georefererad karta.tif", "A 2132-2025")</f>
        <v/>
      </c>
      <c r="AA28">
        <f>HYPERLINK("https://klasma.github.io/Logging_0834/klagomål/A 2132-2025 FSC-klagomål.docx", "A 2132-2025")</f>
        <v/>
      </c>
      <c r="AB28">
        <f>HYPERLINK("https://klasma.github.io/Logging_0834/klagomålsmail/A 2132-2025 FSC-klagomål mail.docx", "A 2132-2025")</f>
        <v/>
      </c>
      <c r="AC28">
        <f>HYPERLINK("https://klasma.github.io/Logging_0834/tillsyn/A 2132-2025 tillsynsbegäran.docx", "A 2132-2025")</f>
        <v/>
      </c>
      <c r="AD28">
        <f>HYPERLINK("https://klasma.github.io/Logging_0834/tillsynsmail/A 2132-2025 tillsynsbegäran mail.docx", "A 2132-2025")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46323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46323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Långbensgroda</t>
        </is>
      </c>
      <c r="W30">
        <f>HYPERLINK("https://klasma.github.io/Logging_0834/artfynd/A 2667-2022 artfynd.xlsx", "A 2667-2022")</f>
        <v/>
      </c>
      <c r="X30">
        <f>HYPERLINK("https://klasma.github.io/Logging_0834/kartor/A 2667-2022 karta.png", "A 2667-2022")</f>
        <v/>
      </c>
      <c r="Y30">
        <f>HYPERLINK("https://klasma.github.io/Logging_0834/kartor_geotiff/A 2667-2022 georefererad karta.tif", "A 2667-2022")</f>
        <v/>
      </c>
      <c r="AA30">
        <f>HYPERLINK("https://klasma.github.io/Logging_0834/klagomål/A 2667-2022 FSC-klagomål.docx", "A 2667-2022")</f>
        <v/>
      </c>
      <c r="AB30">
        <f>HYPERLINK("https://klasma.github.io/Logging_0834/klagomålsmail/A 2667-2022 FSC-klagomål mail.docx", "A 2667-2022")</f>
        <v/>
      </c>
      <c r="AC30">
        <f>HYPERLINK("https://klasma.github.io/Logging_0834/tillsyn/A 2667-2022 tillsynsbegäran.docx", "A 2667-2022")</f>
        <v/>
      </c>
      <c r="AD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46323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46323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5755-2022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46323</v>
      </c>
      <c r="F33" t="inlineStr">
        <is>
          <t>KALMAR LÄN</t>
        </is>
      </c>
      <c r="G33" t="inlineStr">
        <is>
          <t>TORSÅS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HYPERLINK("https://klasma.github.io/Logging_0834/artfynd/A 5755-2022 artfynd.xlsx", "A 5755-2022")</f>
        <v/>
      </c>
      <c r="X33">
        <f>HYPERLINK("https://klasma.github.io/Logging_0834/kartor/A 5755-2022 karta.png", "A 5755-2022")</f>
        <v/>
      </c>
      <c r="Y33">
        <f>HYPERLINK("https://klasma.github.io/Logging_0834/kartor_geotiff/A 5755-2022 georefererad karta.tif", "A 5755-2022")</f>
        <v/>
      </c>
      <c r="AA33">
        <f>HYPERLINK("https://klasma.github.io/Logging_0834/klagomål/A 5755-2022 FSC-klagomål.docx", "A 5755-2022")</f>
        <v/>
      </c>
      <c r="AB33">
        <f>HYPERLINK("https://klasma.github.io/Logging_0834/klagomålsmail/A 5755-2022 FSC-klagomål mail.docx", "A 5755-2022")</f>
        <v/>
      </c>
      <c r="AC33">
        <f>HYPERLINK("https://klasma.github.io/Logging_0834/tillsyn/A 5755-2022 tillsynsbegäran.docx", "A 5755-2022")</f>
        <v/>
      </c>
      <c r="AD33">
        <f>HYPERLINK("https://klasma.github.io/Logging_0834/tillsynsmail/A 5755-2022 tillsynsbegäran mail.docx", "A 5755-2022")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46323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59361-2023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45253</v>
      </c>
      <c r="E35" s="1" t="n">
        <v>46323</v>
      </c>
      <c r="F35" t="inlineStr">
        <is>
          <t>KALMAR LÄN</t>
        </is>
      </c>
      <c r="G35" t="inlineStr">
        <is>
          <t>TORSÅS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Murgröna</t>
        </is>
      </c>
      <c r="W35">
        <f>HYPERLINK("https://klasma.github.io/Logging_0834/artfynd/A 59361-2023 artfynd.xlsx", "A 59361-2023")</f>
        <v/>
      </c>
      <c r="X35">
        <f>HYPERLINK("https://klasma.github.io/Logging_0834/kartor/A 59361-2023 karta.png", "A 59361-2023")</f>
        <v/>
      </c>
      <c r="Y35">
        <f>HYPERLINK("https://klasma.github.io/Logging_0834/kartor_geotiff/A 59361-2023 georefererad karta.tif", "A 59361-2023")</f>
        <v/>
      </c>
      <c r="AA35">
        <f>HYPERLINK("https://klasma.github.io/Logging_0834/klagomål/A 59361-2023 FSC-klagomål.docx", "A 59361-2023")</f>
        <v/>
      </c>
      <c r="AB35">
        <f>HYPERLINK("https://klasma.github.io/Logging_0834/klagomålsmail/A 59361-2023 FSC-klagomål mail.docx", "A 59361-2023")</f>
        <v/>
      </c>
      <c r="AC35">
        <f>HYPERLINK("https://klasma.github.io/Logging_0834/tillsyn/A 59361-2023 tillsynsbegäran.docx", "A 59361-2023")</f>
        <v/>
      </c>
      <c r="AD35">
        <f>HYPERLINK("https://klasma.github.io/Logging_0834/tillsynsmail/A 59361-2023 tillsynsbegäran mail.docx", "A 59361-2023")</f>
        <v/>
      </c>
    </row>
    <row r="36" ht="15" customHeight="1">
      <c r="A36" t="inlineStr">
        <is>
          <t>A 44226-2024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46323</v>
      </c>
      <c r="F36" t="inlineStr">
        <is>
          <t>KALMAR LÄN</t>
        </is>
      </c>
      <c r="G36" t="inlineStr">
        <is>
          <t>TORSÅS</t>
        </is>
      </c>
      <c r="H36" t="inlineStr">
        <is>
          <t>Kommuner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HYPERLINK("https://klasma.github.io/Logging_0834/artfynd/A 44226-2024 artfynd.xlsx", "A 44226-2024")</f>
        <v/>
      </c>
      <c r="X36">
        <f>HYPERLINK("https://klasma.github.io/Logging_0834/kartor/A 44226-2024 karta.png", "A 44226-2024")</f>
        <v/>
      </c>
      <c r="Y36">
        <f>HYPERLINK("https://klasma.github.io/Logging_0834/kartor_geotiff/A 44226-2024 georefererad karta.tif", "A 44226-2024")</f>
        <v/>
      </c>
      <c r="AA36">
        <f>HYPERLINK("https://klasma.github.io/Logging_0834/klagomål/A 44226-2024 FSC-klagomål.docx", "A 44226-2024")</f>
        <v/>
      </c>
      <c r="AB36">
        <f>HYPERLINK("https://klasma.github.io/Logging_0834/klagomålsmail/A 44226-2024 FSC-klagomål mail.docx", "A 44226-2024")</f>
        <v/>
      </c>
      <c r="AC36">
        <f>HYPERLINK("https://klasma.github.io/Logging_0834/tillsyn/A 44226-2024 tillsynsbegäran.docx", "A 44226-2024")</f>
        <v/>
      </c>
      <c r="AD36">
        <f>HYPERLINK("https://klasma.github.io/Logging_0834/tillsynsmail/A 44226-2024 tillsynsbegäran mail.docx", "A 44226-2024")</f>
        <v/>
      </c>
    </row>
    <row r="37" ht="15" customHeight="1">
      <c r="A37" t="inlineStr">
        <is>
          <t>A 36625-2022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46323</v>
      </c>
      <c r="F37" t="inlineStr">
        <is>
          <t>KALMAR LÄN</t>
        </is>
      </c>
      <c r="G37" t="inlineStr">
        <is>
          <t>TORSÅS</t>
        </is>
      </c>
      <c r="I37" t="n">
        <v>7.5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revmossa</t>
        </is>
      </c>
      <c r="W37">
        <f>HYPERLINK("https://klasma.github.io/Logging_0834/artfynd/A 36625-2022 artfynd.xlsx", "A 36625-2022")</f>
        <v/>
      </c>
      <c r="X37">
        <f>HYPERLINK("https://klasma.github.io/Logging_0834/kartor/A 36625-2022 karta.png", "A 36625-2022")</f>
        <v/>
      </c>
      <c r="Y37">
        <f>HYPERLINK("https://klasma.github.io/Logging_0834/kartor_geotiff/A 36625-2022 georefererad karta.tif", "A 36625-2022")</f>
        <v/>
      </c>
      <c r="AA37">
        <f>HYPERLINK("https://klasma.github.io/Logging_0834/klagomål/A 36625-2022 FSC-klagomål.docx", "A 36625-2022")</f>
        <v/>
      </c>
      <c r="AB37">
        <f>HYPERLINK("https://klasma.github.io/Logging_0834/klagomålsmail/A 36625-2022 FSC-klagomål mail.docx", "A 36625-2022")</f>
        <v/>
      </c>
      <c r="AC37">
        <f>HYPERLINK("https://klasma.github.io/Logging_0834/tillsyn/A 36625-2022 tillsynsbegäran.docx", "A 36625-2022")</f>
        <v/>
      </c>
      <c r="AD37">
        <f>HYPERLINK("https://klasma.github.io/Logging_0834/tillsynsmail/A 36625-2022 tillsynsbegäran mail.docx", "A 36625-2022")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46323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39699-2026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46323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Gullviva</t>
        </is>
      </c>
      <c r="W39">
        <f>HYPERLINK("https://klasma.github.io/Logging_0834/artfynd/A 39699-2026 artfynd.xlsx", "A 39699-2026")</f>
        <v/>
      </c>
      <c r="X39">
        <f>HYPERLINK("https://klasma.github.io/Logging_0834/kartor/A 39699-2026 karta.png", "A 39699-2026")</f>
        <v/>
      </c>
      <c r="Y39">
        <f>HYPERLINK("https://klasma.github.io/Logging_0834/kartor_geotiff/A 39699-2026 georefererad karta.tif", "A 39699-2026")</f>
        <v/>
      </c>
      <c r="AA39">
        <f>HYPERLINK("https://klasma.github.io/Logging_0834/klagomål/A 39699-2026 FSC-klagomål.docx", "A 39699-2026")</f>
        <v/>
      </c>
      <c r="AB39">
        <f>HYPERLINK("https://klasma.github.io/Logging_0834/klagomålsmail/A 39699-2026 FSC-klagomål mail.docx", "A 39699-2026")</f>
        <v/>
      </c>
      <c r="AC39">
        <f>HYPERLINK("https://klasma.github.io/Logging_0834/tillsyn/A 39699-2026 tillsynsbegäran.docx", "A 39699-2026")</f>
        <v/>
      </c>
      <c r="AD39">
        <f>HYPERLINK("https://klasma.github.io/Logging_0834/tillsynsmail/A 39699-2026 tillsynsbegäran mail.docx", "A 39699-2026")</f>
        <v/>
      </c>
    </row>
    <row r="40" ht="15" customHeight="1">
      <c r="A40" t="inlineStr">
        <is>
          <t>A 40306-2026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46323</v>
      </c>
      <c r="F40" t="inlineStr">
        <is>
          <t>KALMAR LÄN</t>
        </is>
      </c>
      <c r="G40" t="inlineStr">
        <is>
          <t>TORSÅS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HYPERLINK("https://klasma.github.io/Logging_0834/artfynd/A 40306-2026 artfynd.xlsx", "A 40306-2026")</f>
        <v/>
      </c>
      <c r="X40">
        <f>HYPERLINK("https://klasma.github.io/Logging_0834/kartor/A 40306-2026 karta.png", "A 40306-2026")</f>
        <v/>
      </c>
      <c r="Y40">
        <f>HYPERLINK("https://klasma.github.io/Logging_0834/kartor_geotiff/A 40306-2026 georefererad karta.tif", "A 40306-2026")</f>
        <v/>
      </c>
      <c r="AA40">
        <f>HYPERLINK("https://klasma.github.io/Logging_0834/klagomål/A 40306-2026 FSC-klagomål.docx", "A 40306-2026")</f>
        <v/>
      </c>
      <c r="AB40">
        <f>HYPERLINK("https://klasma.github.io/Logging_0834/klagomålsmail/A 40306-2026 FSC-klagomål mail.docx", "A 40306-2026")</f>
        <v/>
      </c>
      <c r="AC40">
        <f>HYPERLINK("https://klasma.github.io/Logging_0834/tillsyn/A 40306-2026 tillsynsbegäran.docx", "A 40306-2026")</f>
        <v/>
      </c>
      <c r="AD40">
        <f>HYPERLINK("https://klasma.github.io/Logging_0834/tillsynsmail/A 40306-2026 tillsynsbegäran mail.docx", "A 40306-2026")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46323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46323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46323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35715-2026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46265</v>
      </c>
      <c r="E44" s="1" t="n">
        <v>46323</v>
      </c>
      <c r="F44" t="inlineStr">
        <is>
          <t>KALMAR LÄN</t>
        </is>
      </c>
      <c r="G44" t="inlineStr">
        <is>
          <t>TORSÅS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HYPERLINK("https://klasma.github.io/Logging_0834/artfynd/A 35715-2026 artfynd.xlsx", "A 35715-2026")</f>
        <v/>
      </c>
      <c r="X44">
        <f>HYPERLINK("https://klasma.github.io/Logging_0834/kartor/A 35715-2026 karta.png", "A 35715-2026")</f>
        <v/>
      </c>
      <c r="Y44">
        <f>HYPERLINK("https://klasma.github.io/Logging_0834/kartor_geotiff/A 35715-2026 georefererad karta.tif", "A 35715-2026")</f>
        <v/>
      </c>
      <c r="AA44">
        <f>HYPERLINK("https://klasma.github.io/Logging_0834/klagomål/A 35715-2026 FSC-klagomål.docx", "A 35715-2026")</f>
        <v/>
      </c>
      <c r="AB44">
        <f>HYPERLINK("https://klasma.github.io/Logging_0834/klagomålsmail/A 35715-2026 FSC-klagomål mail.docx", "A 35715-2026")</f>
        <v/>
      </c>
      <c r="AC44">
        <f>HYPERLINK("https://klasma.github.io/Logging_0834/tillsyn/A 35715-2026 tillsynsbegäran.docx", "A 35715-2026")</f>
        <v/>
      </c>
      <c r="AD44">
        <f>HYPERLINK("https://klasma.github.io/Logging_0834/tillsynsmail/A 35715-2026 tillsynsbegäran mail.docx", "A 35715-2026")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46323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45860</v>
      </c>
      <c r="E46" s="1" t="n">
        <v>46323</v>
      </c>
      <c r="F46" t="inlineStr">
        <is>
          <t>KALMAR LÄN</t>
        </is>
      </c>
      <c r="G46" t="inlineStr">
        <is>
          <t>TORSÅS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brunfladdermus</t>
        </is>
      </c>
      <c r="W46">
        <f>HYPERLINK("https://klasma.github.io/Logging_0834/artfynd/A 35769-2025 artfynd.xlsx", "A 35769-2025")</f>
        <v/>
      </c>
      <c r="X46">
        <f>HYPERLINK("https://klasma.github.io/Logging_0834/kartor/A 35769-2025 karta.png", "A 35769-2025")</f>
        <v/>
      </c>
      <c r="Y46">
        <f>HYPERLINK("https://klasma.github.io/Logging_0834/kartor_geotiff/A 35769-2025 georefererad karta.tif", "A 35769-2025")</f>
        <v/>
      </c>
      <c r="AA46">
        <f>HYPERLINK("https://klasma.github.io/Logging_0834/klagomål/A 35769-2025 FSC-klagomål.docx", "A 35769-2025")</f>
        <v/>
      </c>
      <c r="AB46">
        <f>HYPERLINK("https://klasma.github.io/Logging_0834/klagomålsmail/A 35769-2025 FSC-klagomål mail.docx", "A 35769-2025")</f>
        <v/>
      </c>
      <c r="AC46">
        <f>HYPERLINK("https://klasma.github.io/Logging_0834/tillsyn/A 35769-2025 tillsynsbegäran.docx", "A 35769-2025")</f>
        <v/>
      </c>
      <c r="AD46">
        <f>HYPERLINK("https://klasma.github.io/Logging_0834/tillsynsmail/A 35769-2025 tillsynsbegäran mail.docx", "A 35769-2025")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46323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46323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46323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46323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46323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46323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46323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46323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46323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46323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46323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46323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46323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46323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46323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46323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46323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46323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46323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46323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46323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46323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46323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46323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46323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46323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46323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46323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46323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46323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46323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46323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46323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46323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46323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46323</v>
      </c>
      <c r="F82" t="inlineStr">
        <is>
          <t>KALMAR LÄN</t>
        </is>
      </c>
      <c r="G82" t="inlineStr">
        <is>
          <t>TORSÅS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46323</v>
      </c>
      <c r="F83" t="inlineStr">
        <is>
          <t>KALMAR LÄN</t>
        </is>
      </c>
      <c r="G83" t="inlineStr">
        <is>
          <t>TORSÅS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46323</v>
      </c>
      <c r="F84" t="inlineStr">
        <is>
          <t>KALMAR LÄN</t>
        </is>
      </c>
      <c r="G84" t="inlineStr">
        <is>
          <t>TORSÅS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45271</v>
      </c>
      <c r="E85" s="1" t="n">
        <v>46323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45271</v>
      </c>
      <c r="E86" s="1" t="n">
        <v>46323</v>
      </c>
      <c r="F86" t="inlineStr">
        <is>
          <t>KALMAR LÄN</t>
        </is>
      </c>
      <c r="G86" t="inlineStr">
        <is>
          <t>TORSÅS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44671</v>
      </c>
      <c r="E87" s="1" t="n">
        <v>46323</v>
      </c>
      <c r="F87" t="inlineStr">
        <is>
          <t>KALMAR LÄN</t>
        </is>
      </c>
      <c r="G87" t="inlineStr">
        <is>
          <t>TORSÅS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45036</v>
      </c>
      <c r="E88" s="1" t="n">
        <v>46323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46323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46323</v>
      </c>
      <c r="F90" t="inlineStr">
        <is>
          <t>KALMAR LÄN</t>
        </is>
      </c>
      <c r="G90" t="inlineStr">
        <is>
          <t>TORSÅS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46323</v>
      </c>
      <c r="F91" t="inlineStr">
        <is>
          <t>KALMAR LÄN</t>
        </is>
      </c>
      <c r="G91" t="inlineStr">
        <is>
          <t>TORSÅS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45113</v>
      </c>
      <c r="E92" s="1" t="n">
        <v>46323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28592-2022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44748</v>
      </c>
      <c r="E93" s="1" t="n">
        <v>46323</v>
      </c>
      <c r="F93" t="inlineStr">
        <is>
          <t>KALMAR LÄN</t>
        </is>
      </c>
      <c r="G93" t="inlineStr">
        <is>
          <t>TORSÅS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44658</v>
      </c>
      <c r="E94" s="1" t="n">
        <v>46323</v>
      </c>
      <c r="F94" t="inlineStr">
        <is>
          <t>KALMAR LÄN</t>
        </is>
      </c>
      <c r="G94" t="inlineStr">
        <is>
          <t>TORSÅS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46323</v>
      </c>
      <c r="F95" t="inlineStr">
        <is>
          <t>KALMAR LÄN</t>
        </is>
      </c>
      <c r="G95" t="inlineStr">
        <is>
          <t>TORSÅS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46323</v>
      </c>
      <c r="F96" t="inlineStr">
        <is>
          <t>KALMAR LÄN</t>
        </is>
      </c>
      <c r="G96" t="inlineStr">
        <is>
          <t>TORSÅS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44949</v>
      </c>
      <c r="E97" s="1" t="n">
        <v>46323</v>
      </c>
      <c r="F97" t="inlineStr">
        <is>
          <t>KALMAR LÄN</t>
        </is>
      </c>
      <c r="G97" t="inlineStr">
        <is>
          <t>TORSÅS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45614</v>
      </c>
      <c r="E98" s="1" t="n">
        <v>46323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46323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46323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45447</v>
      </c>
      <c r="E101" s="1" t="n">
        <v>46323</v>
      </c>
      <c r="F101" t="inlineStr">
        <is>
          <t>KALMAR LÄN</t>
        </is>
      </c>
      <c r="G101" t="inlineStr">
        <is>
          <t>TORSÅS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46323</v>
      </c>
      <c r="F102" t="inlineStr">
        <is>
          <t>KALMAR LÄN</t>
        </is>
      </c>
      <c r="G102" t="inlineStr">
        <is>
          <t>TORSÅS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46323</v>
      </c>
      <c r="F103" t="inlineStr">
        <is>
          <t>KALMAR LÄN</t>
        </is>
      </c>
      <c r="G103" t="inlineStr">
        <is>
          <t>TORSÅS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45518</v>
      </c>
      <c r="E104" s="1" t="n">
        <v>46323</v>
      </c>
      <c r="F104" t="inlineStr">
        <is>
          <t>KALMAR LÄN</t>
        </is>
      </c>
      <c r="G104" t="inlineStr">
        <is>
          <t>TORSÅS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46323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45323</v>
      </c>
      <c r="E106" s="1" t="n">
        <v>46323</v>
      </c>
      <c r="F106" t="inlineStr">
        <is>
          <t>KALMAR LÄN</t>
        </is>
      </c>
      <c r="G106" t="inlineStr">
        <is>
          <t>TORSÅS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46323</v>
      </c>
      <c r="F107" t="inlineStr">
        <is>
          <t>KALMAR LÄN</t>
        </is>
      </c>
      <c r="G107" t="inlineStr">
        <is>
          <t>TORSÅS</t>
        </is>
      </c>
      <c r="H107" t="inlineStr">
        <is>
          <t>Övriga Aktiebolag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45532</v>
      </c>
      <c r="E108" s="1" t="n">
        <v>46323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45000</v>
      </c>
      <c r="E109" s="1" t="n">
        <v>46323</v>
      </c>
      <c r="F109" t="inlineStr">
        <is>
          <t>KALMAR LÄN</t>
        </is>
      </c>
      <c r="G109" t="inlineStr">
        <is>
          <t>TORSÅS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46323</v>
      </c>
      <c r="F110" t="inlineStr">
        <is>
          <t>KALMAR LÄN</t>
        </is>
      </c>
      <c r="G110" t="inlineStr">
        <is>
          <t>TORSÅS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46323</v>
      </c>
      <c r="F111" t="inlineStr">
        <is>
          <t>KALMAR LÄN</t>
        </is>
      </c>
      <c r="G111" t="inlineStr">
        <is>
          <t>TORSÅS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44725</v>
      </c>
      <c r="E112" s="1" t="n">
        <v>46323</v>
      </c>
      <c r="F112" t="inlineStr">
        <is>
          <t>KALMAR LÄN</t>
        </is>
      </c>
      <c r="G112" t="inlineStr">
        <is>
          <t>TORSÅS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46323</v>
      </c>
      <c r="F113" t="inlineStr">
        <is>
          <t>KALMAR LÄN</t>
        </is>
      </c>
      <c r="G113" t="inlineStr">
        <is>
          <t>TORSÅS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45736</v>
      </c>
      <c r="E114" s="1" t="n">
        <v>46323</v>
      </c>
      <c r="F114" t="inlineStr">
        <is>
          <t>KALMAR LÄN</t>
        </is>
      </c>
      <c r="G114" t="inlineStr">
        <is>
          <t>TORSÅS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26700-2023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46323</v>
      </c>
      <c r="F115" t="inlineStr">
        <is>
          <t>KALMAR LÄN</t>
        </is>
      </c>
      <c r="G115" t="inlineStr">
        <is>
          <t>TORSÅS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46323</v>
      </c>
      <c r="F116" t="inlineStr">
        <is>
          <t>KALMAR LÄN</t>
        </is>
      </c>
      <c r="G116" t="inlineStr">
        <is>
          <t>TORSÅS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45178</v>
      </c>
      <c r="E117" s="1" t="n">
        <v>46323</v>
      </c>
      <c r="F117" t="inlineStr">
        <is>
          <t>KALMAR LÄN</t>
        </is>
      </c>
      <c r="G117" t="inlineStr">
        <is>
          <t>TORSÅS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46323</v>
      </c>
      <c r="F118" t="inlineStr">
        <is>
          <t>KALMAR LÄN</t>
        </is>
      </c>
      <c r="G118" t="inlineStr">
        <is>
          <t>TORSÅS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46323</v>
      </c>
      <c r="F119" t="inlineStr">
        <is>
          <t>KALMAR LÄN</t>
        </is>
      </c>
      <c r="G119" t="inlineStr">
        <is>
          <t>TORSÅS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46323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45208</v>
      </c>
      <c r="E121" s="1" t="n">
        <v>46323</v>
      </c>
      <c r="F121" t="inlineStr">
        <is>
          <t>KALMAR LÄN</t>
        </is>
      </c>
      <c r="G121" t="inlineStr">
        <is>
          <t>TORSÅS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45330</v>
      </c>
      <c r="E122" s="1" t="n">
        <v>46323</v>
      </c>
      <c r="F122" t="inlineStr">
        <is>
          <t>KALMAR LÄN</t>
        </is>
      </c>
      <c r="G122" t="inlineStr">
        <is>
          <t>TORSÅS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26491-2022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46323</v>
      </c>
      <c r="F123" t="inlineStr">
        <is>
          <t>KALMAR LÄN</t>
        </is>
      </c>
      <c r="G123" t="inlineStr">
        <is>
          <t>TORSÅS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46323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46323</v>
      </c>
      <c r="F125" t="inlineStr">
        <is>
          <t>KALMAR LÄN</t>
        </is>
      </c>
      <c r="G125" t="inlineStr">
        <is>
          <t>TORSÅS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46323</v>
      </c>
      <c r="F126" t="inlineStr">
        <is>
          <t>KALMAR LÄN</t>
        </is>
      </c>
      <c r="G126" t="inlineStr">
        <is>
          <t>TORSÅS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46323</v>
      </c>
      <c r="F127" t="inlineStr">
        <is>
          <t>KALMAR LÄN</t>
        </is>
      </c>
      <c r="G127" t="inlineStr">
        <is>
          <t>TORSÅS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46323</v>
      </c>
      <c r="F128" t="inlineStr">
        <is>
          <t>KALMAR LÄN</t>
        </is>
      </c>
      <c r="G128" t="inlineStr">
        <is>
          <t>TORSÅS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46323</v>
      </c>
      <c r="F129" t="inlineStr">
        <is>
          <t>KALMAR LÄN</t>
        </is>
      </c>
      <c r="G129" t="inlineStr">
        <is>
          <t>TORSÅS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44776</v>
      </c>
      <c r="E130" s="1" t="n">
        <v>46323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46323</v>
      </c>
      <c r="F131" t="inlineStr">
        <is>
          <t>KALMAR LÄN</t>
        </is>
      </c>
      <c r="G131" t="inlineStr">
        <is>
          <t>TORSÅS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44985</v>
      </c>
      <c r="E132" s="1" t="n">
        <v>46323</v>
      </c>
      <c r="F132" t="inlineStr">
        <is>
          <t>KALMAR LÄN</t>
        </is>
      </c>
      <c r="G132" t="inlineStr">
        <is>
          <t>TORSÅS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44694</v>
      </c>
      <c r="E133" s="1" t="n">
        <v>46323</v>
      </c>
      <c r="F133" t="inlineStr">
        <is>
          <t>KALMAR LÄN</t>
        </is>
      </c>
      <c r="G133" t="inlineStr">
        <is>
          <t>TORSÅS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46323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46323</v>
      </c>
      <c r="F135" t="inlineStr">
        <is>
          <t>KALMAR LÄN</t>
        </is>
      </c>
      <c r="G135" t="inlineStr">
        <is>
          <t>TORSÅS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46323</v>
      </c>
      <c r="F136" t="inlineStr">
        <is>
          <t>KALMAR LÄN</t>
        </is>
      </c>
      <c r="G136" t="inlineStr">
        <is>
          <t>TORSÅS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46323</v>
      </c>
      <c r="F137" t="inlineStr">
        <is>
          <t>KALMAR LÄN</t>
        </is>
      </c>
      <c r="G137" t="inlineStr">
        <is>
          <t>TORSÅS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46323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46323</v>
      </c>
      <c r="F139" t="inlineStr">
        <is>
          <t>KALMAR LÄN</t>
        </is>
      </c>
      <c r="G139" t="inlineStr">
        <is>
          <t>TORSÅS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45250</v>
      </c>
      <c r="E140" s="1" t="n">
        <v>46323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44839-2022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44841</v>
      </c>
      <c r="E141" s="1" t="n">
        <v>46323</v>
      </c>
      <c r="F141" t="inlineStr">
        <is>
          <t>KALMAR LÄN</t>
        </is>
      </c>
      <c r="G141" t="inlineStr">
        <is>
          <t>TORSÅS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46323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46323</v>
      </c>
      <c r="F143" t="inlineStr">
        <is>
          <t>KALMAR LÄN</t>
        </is>
      </c>
      <c r="G143" t="inlineStr">
        <is>
          <t>TORSÅS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46323</v>
      </c>
      <c r="F144" t="inlineStr">
        <is>
          <t>KALMAR LÄN</t>
        </is>
      </c>
      <c r="G144" t="inlineStr">
        <is>
          <t>TORSÅS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46323</v>
      </c>
      <c r="F145" t="inlineStr">
        <is>
          <t>KALMAR LÄN</t>
        </is>
      </c>
      <c r="G145" t="inlineStr">
        <is>
          <t>TORSÅS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46323</v>
      </c>
      <c r="F146" t="inlineStr">
        <is>
          <t>KALMAR LÄN</t>
        </is>
      </c>
      <c r="G146" t="inlineStr">
        <is>
          <t>TORSÅS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46323</v>
      </c>
      <c r="F147" t="inlineStr">
        <is>
          <t>KALMAR LÄN</t>
        </is>
      </c>
      <c r="G147" t="inlineStr">
        <is>
          <t>TORSÅS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44826</v>
      </c>
      <c r="E148" s="1" t="n">
        <v>46323</v>
      </c>
      <c r="F148" t="inlineStr">
        <is>
          <t>KALMAR LÄN</t>
        </is>
      </c>
      <c r="G148" t="inlineStr">
        <is>
          <t>TORSÅS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41566-2022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44827</v>
      </c>
      <c r="E149" s="1" t="n">
        <v>46323</v>
      </c>
      <c r="F149" t="inlineStr">
        <is>
          <t>KALMAR LÄN</t>
        </is>
      </c>
      <c r="G149" t="inlineStr">
        <is>
          <t>TORSÅS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46323</v>
      </c>
      <c r="F150" t="inlineStr">
        <is>
          <t>KALMAR LÄN</t>
        </is>
      </c>
      <c r="G150" t="inlineStr">
        <is>
          <t>TORSÅS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46323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46323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45113</v>
      </c>
      <c r="E153" s="1" t="n">
        <v>46323</v>
      </c>
      <c r="F153" t="inlineStr">
        <is>
          <t>KALMAR LÄN</t>
        </is>
      </c>
      <c r="G153" t="inlineStr">
        <is>
          <t>TORSÅS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46323</v>
      </c>
      <c r="F154" t="inlineStr">
        <is>
          <t>KALMAR LÄN</t>
        </is>
      </c>
      <c r="G154" t="inlineStr">
        <is>
          <t>TORSÅS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46323</v>
      </c>
      <c r="F155" t="inlineStr">
        <is>
          <t>KALMAR LÄN</t>
        </is>
      </c>
      <c r="G155" t="inlineStr">
        <is>
          <t>TORSÅS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44763</v>
      </c>
      <c r="E156" s="1" t="n">
        <v>46323</v>
      </c>
      <c r="F156" t="inlineStr">
        <is>
          <t>KALMAR LÄN</t>
        </is>
      </c>
      <c r="G156" t="inlineStr">
        <is>
          <t>TORSÅS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46323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47318-2022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46323</v>
      </c>
      <c r="F158" t="inlineStr">
        <is>
          <t>KALMAR LÄN</t>
        </is>
      </c>
      <c r="G158" t="inlineStr">
        <is>
          <t>TORSÅS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46323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44849</v>
      </c>
      <c r="E160" s="1" t="n">
        <v>46323</v>
      </c>
      <c r="F160" t="inlineStr">
        <is>
          <t>KALMAR LÄN</t>
        </is>
      </c>
      <c r="G160" t="inlineStr">
        <is>
          <t>TORSÅS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46323</v>
      </c>
      <c r="F161" t="inlineStr">
        <is>
          <t>KALMAR LÄN</t>
        </is>
      </c>
      <c r="G161" t="inlineStr">
        <is>
          <t>TORSÅS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46323</v>
      </c>
      <c r="F162" t="inlineStr">
        <is>
          <t>KALMAR LÄN</t>
        </is>
      </c>
      <c r="G162" t="inlineStr">
        <is>
          <t>TORSÅS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44949</v>
      </c>
      <c r="E163" s="1" t="n">
        <v>46323</v>
      </c>
      <c r="F163" t="inlineStr">
        <is>
          <t>KALMAR LÄN</t>
        </is>
      </c>
      <c r="G163" t="inlineStr">
        <is>
          <t>TORSÅS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46323</v>
      </c>
      <c r="F164" t="inlineStr">
        <is>
          <t>KALMAR LÄN</t>
        </is>
      </c>
      <c r="G164" t="inlineStr">
        <is>
          <t>TORSÅS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46323</v>
      </c>
      <c r="F165" t="inlineStr">
        <is>
          <t>KALMAR LÄN</t>
        </is>
      </c>
      <c r="G165" t="inlineStr">
        <is>
          <t>TORSÅS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46323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46323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46323</v>
      </c>
      <c r="F168" t="inlineStr">
        <is>
          <t>KALMAR LÄN</t>
        </is>
      </c>
      <c r="G168" t="inlineStr">
        <is>
          <t>TORSÅS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65651-2021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46323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45404</v>
      </c>
      <c r="E170" s="1" t="n">
        <v>46323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46323</v>
      </c>
      <c r="F171" t="inlineStr">
        <is>
          <t>KALMAR LÄN</t>
        </is>
      </c>
      <c r="G171" t="inlineStr">
        <is>
          <t>TORSÅS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46323</v>
      </c>
      <c r="F172" t="inlineStr">
        <is>
          <t>KALMAR LÄN</t>
        </is>
      </c>
      <c r="G172" t="inlineStr">
        <is>
          <t>TORSÅS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46323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46323</v>
      </c>
      <c r="F174" t="inlineStr">
        <is>
          <t>KALMAR LÄN</t>
        </is>
      </c>
      <c r="G174" t="inlineStr">
        <is>
          <t>TORSÅS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46323</v>
      </c>
      <c r="F175" t="inlineStr">
        <is>
          <t>KALMAR LÄN</t>
        </is>
      </c>
      <c r="G175" t="inlineStr">
        <is>
          <t>TORSÅS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45925</v>
      </c>
      <c r="E176" s="1" t="n">
        <v>46323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46323</v>
      </c>
      <c r="F177" t="inlineStr">
        <is>
          <t>KALMAR LÄN</t>
        </is>
      </c>
      <c r="G177" t="inlineStr">
        <is>
          <t>TORSÅS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46626-2024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46323</v>
      </c>
      <c r="F178" t="inlineStr">
        <is>
          <t>KALMAR LÄN</t>
        </is>
      </c>
      <c r="G178" t="inlineStr">
        <is>
          <t>TORSÅS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68493-2021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44529</v>
      </c>
      <c r="E179" s="1" t="n">
        <v>46323</v>
      </c>
      <c r="F179" t="inlineStr">
        <is>
          <t>KALMAR LÄN</t>
        </is>
      </c>
      <c r="G179" t="inlineStr">
        <is>
          <t>TORSÅS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46323</v>
      </c>
      <c r="F180" t="inlineStr">
        <is>
          <t>KALMAR LÄN</t>
        </is>
      </c>
      <c r="G180" t="inlineStr">
        <is>
          <t>TORSÅS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45694</v>
      </c>
      <c r="E181" s="1" t="n">
        <v>46323</v>
      </c>
      <c r="F181" t="inlineStr">
        <is>
          <t>KALMAR LÄN</t>
        </is>
      </c>
      <c r="G181" t="inlineStr">
        <is>
          <t>TORSÅS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46323</v>
      </c>
      <c r="F182" t="inlineStr">
        <is>
          <t>KALMAR LÄN</t>
        </is>
      </c>
      <c r="G182" t="inlineStr">
        <is>
          <t>TORSÅS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46323</v>
      </c>
      <c r="F183" t="inlineStr">
        <is>
          <t>KALMAR LÄN</t>
        </is>
      </c>
      <c r="G183" t="inlineStr">
        <is>
          <t>TORSÅS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46323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44986</v>
      </c>
      <c r="E185" s="1" t="n">
        <v>46323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45222</v>
      </c>
      <c r="E186" s="1" t="n">
        <v>46323</v>
      </c>
      <c r="F186" t="inlineStr">
        <is>
          <t>KALMAR LÄN</t>
        </is>
      </c>
      <c r="G186" t="inlineStr">
        <is>
          <t>TORSÅS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64348-2021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44511</v>
      </c>
      <c r="E187" s="1" t="n">
        <v>46323</v>
      </c>
      <c r="F187" t="inlineStr">
        <is>
          <t>KALMAR LÄN</t>
        </is>
      </c>
      <c r="G187" t="inlineStr">
        <is>
          <t>TORSÅS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44988</v>
      </c>
      <c r="E188" s="1" t="n">
        <v>46323</v>
      </c>
      <c r="F188" t="inlineStr">
        <is>
          <t>KALMAR LÄN</t>
        </is>
      </c>
      <c r="G188" t="inlineStr">
        <is>
          <t>TORSÅS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44827</v>
      </c>
      <c r="E189" s="1" t="n">
        <v>46323</v>
      </c>
      <c r="F189" t="inlineStr">
        <is>
          <t>KALMAR LÄN</t>
        </is>
      </c>
      <c r="G189" t="inlineStr">
        <is>
          <t>TORSÅS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46323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46323</v>
      </c>
      <c r="F191" t="inlineStr">
        <is>
          <t>KALMAR LÄN</t>
        </is>
      </c>
      <c r="G191" t="inlineStr">
        <is>
          <t>TORSÅS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46323</v>
      </c>
      <c r="F192" t="inlineStr">
        <is>
          <t>KALMAR LÄN</t>
        </is>
      </c>
      <c r="G192" t="inlineStr">
        <is>
          <t>TORSÅS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46323</v>
      </c>
      <c r="F193" t="inlineStr">
        <is>
          <t>KALMAR LÄN</t>
        </is>
      </c>
      <c r="G193" t="inlineStr">
        <is>
          <t>TORSÅS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44950</v>
      </c>
      <c r="E194" s="1" t="n">
        <v>46323</v>
      </c>
      <c r="F194" t="inlineStr">
        <is>
          <t>KALMAR LÄN</t>
        </is>
      </c>
      <c r="G194" t="inlineStr">
        <is>
          <t>TORSÅS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45350</v>
      </c>
      <c r="E195" s="1" t="n">
        <v>46323</v>
      </c>
      <c r="F195" t="inlineStr">
        <is>
          <t>KALMAR LÄN</t>
        </is>
      </c>
      <c r="G195" t="inlineStr">
        <is>
          <t>TORSÅS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44949</v>
      </c>
      <c r="E196" s="1" t="n">
        <v>46323</v>
      </c>
      <c r="F196" t="inlineStr">
        <is>
          <t>KALMAR LÄN</t>
        </is>
      </c>
      <c r="G196" t="inlineStr">
        <is>
          <t>TORSÅS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46323</v>
      </c>
      <c r="F197" t="inlineStr">
        <is>
          <t>KALMAR LÄN</t>
        </is>
      </c>
      <c r="G197" t="inlineStr">
        <is>
          <t>TORSÅS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46323</v>
      </c>
      <c r="F198" t="inlineStr">
        <is>
          <t>KALMAR LÄN</t>
        </is>
      </c>
      <c r="G198" t="inlineStr">
        <is>
          <t>TORSÅS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46323</v>
      </c>
      <c r="F199" t="inlineStr">
        <is>
          <t>KALMAR LÄN</t>
        </is>
      </c>
      <c r="G199" t="inlineStr">
        <is>
          <t>TORSÅS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46323</v>
      </c>
      <c r="F200" t="inlineStr">
        <is>
          <t>KALMAR LÄN</t>
        </is>
      </c>
      <c r="G200" t="inlineStr">
        <is>
          <t>TORSÅS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46323</v>
      </c>
      <c r="F201" t="inlineStr">
        <is>
          <t>KALMAR LÄN</t>
        </is>
      </c>
      <c r="G201" t="inlineStr">
        <is>
          <t>TORSÅS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46323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45145</v>
      </c>
      <c r="E203" s="1" t="n">
        <v>46323</v>
      </c>
      <c r="F203" t="inlineStr">
        <is>
          <t>KALMAR LÄN</t>
        </is>
      </c>
      <c r="G203" t="inlineStr">
        <is>
          <t>TORSÅS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46323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33939-2022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44790</v>
      </c>
      <c r="E205" s="1" t="n">
        <v>46323</v>
      </c>
      <c r="F205" t="inlineStr">
        <is>
          <t>KALMAR LÄN</t>
        </is>
      </c>
      <c r="G205" t="inlineStr">
        <is>
          <t>TORSÅS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45001</v>
      </c>
      <c r="E206" s="1" t="n">
        <v>46323</v>
      </c>
      <c r="F206" t="inlineStr">
        <is>
          <t>KALMAR LÄN</t>
        </is>
      </c>
      <c r="G206" t="inlineStr">
        <is>
          <t>TORSÅS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46323</v>
      </c>
      <c r="F207" t="inlineStr">
        <is>
          <t>KALMAR LÄN</t>
        </is>
      </c>
      <c r="G207" t="inlineStr">
        <is>
          <t>TORSÅS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46323</v>
      </c>
      <c r="F208" t="inlineStr">
        <is>
          <t>KALMAR LÄN</t>
        </is>
      </c>
      <c r="G208" t="inlineStr">
        <is>
          <t>TORSÅS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45546</v>
      </c>
      <c r="E209" s="1" t="n">
        <v>46323</v>
      </c>
      <c r="F209" t="inlineStr">
        <is>
          <t>KALMAR LÄN</t>
        </is>
      </c>
      <c r="G209" t="inlineStr">
        <is>
          <t>TORSÅS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46323</v>
      </c>
      <c r="F210" t="inlineStr">
        <is>
          <t>KALMAR LÄN</t>
        </is>
      </c>
      <c r="G210" t="inlineStr">
        <is>
          <t>TORSÅS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46323</v>
      </c>
      <c r="F211" t="inlineStr">
        <is>
          <t>KALMAR LÄN</t>
        </is>
      </c>
      <c r="G211" t="inlineStr">
        <is>
          <t>TORSÅS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43066-2024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45567</v>
      </c>
      <c r="E212" s="1" t="n">
        <v>46323</v>
      </c>
      <c r="F212" t="inlineStr">
        <is>
          <t>KALMAR LÄN</t>
        </is>
      </c>
      <c r="G212" t="inlineStr">
        <is>
          <t>TORSÅS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46323</v>
      </c>
      <c r="F213" t="inlineStr">
        <is>
          <t>KALMAR LÄN</t>
        </is>
      </c>
      <c r="G213" t="inlineStr">
        <is>
          <t>TORSÅS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46323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46323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46323</v>
      </c>
      <c r="F216" t="inlineStr">
        <is>
          <t>KALMAR LÄN</t>
        </is>
      </c>
      <c r="G216" t="inlineStr">
        <is>
          <t>TORSÅS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44938</v>
      </c>
      <c r="E217" s="1" t="n">
        <v>46323</v>
      </c>
      <c r="F217" t="inlineStr">
        <is>
          <t>KALMAR LÄN</t>
        </is>
      </c>
      <c r="G217" t="inlineStr">
        <is>
          <t>TORSÅS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10472-2023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44987</v>
      </c>
      <c r="E218" s="1" t="n">
        <v>46323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62101-2021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46323</v>
      </c>
      <c r="F219" t="inlineStr">
        <is>
          <t>KALMAR LÄN</t>
        </is>
      </c>
      <c r="G219" t="inlineStr">
        <is>
          <t>TORSÅS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45288</v>
      </c>
      <c r="E220" s="1" t="n">
        <v>46323</v>
      </c>
      <c r="F220" t="inlineStr">
        <is>
          <t>KALMAR LÄN</t>
        </is>
      </c>
      <c r="G220" t="inlineStr">
        <is>
          <t>TORSÅS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45288</v>
      </c>
      <c r="E221" s="1" t="n">
        <v>46323</v>
      </c>
      <c r="F221" t="inlineStr">
        <is>
          <t>KALMAR LÄN</t>
        </is>
      </c>
      <c r="G221" t="inlineStr">
        <is>
          <t>TORSÅS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46323</v>
      </c>
      <c r="F222" t="inlineStr">
        <is>
          <t>KALMAR LÄN</t>
        </is>
      </c>
      <c r="G222" t="inlineStr">
        <is>
          <t>TORSÅS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46323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46323</v>
      </c>
      <c r="F224" t="inlineStr">
        <is>
          <t>KALMAR LÄN</t>
        </is>
      </c>
      <c r="G224" t="inlineStr">
        <is>
          <t>TORSÅS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45583</v>
      </c>
      <c r="E225" s="1" t="n">
        <v>46323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45016</v>
      </c>
      <c r="E226" s="1" t="n">
        <v>46323</v>
      </c>
      <c r="F226" t="inlineStr">
        <is>
          <t>KALMAR LÄN</t>
        </is>
      </c>
      <c r="G226" t="inlineStr">
        <is>
          <t>TORSÅS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46323</v>
      </c>
      <c r="F227" t="inlineStr">
        <is>
          <t>KALMAR LÄN</t>
        </is>
      </c>
      <c r="G227" t="inlineStr">
        <is>
          <t>TORSÅS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8512-2022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44613</v>
      </c>
      <c r="E228" s="1" t="n">
        <v>46323</v>
      </c>
      <c r="F228" t="inlineStr">
        <is>
          <t>KALMAR LÄN</t>
        </is>
      </c>
      <c r="G228" t="inlineStr">
        <is>
          <t>TORSÅS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46323</v>
      </c>
      <c r="F229" t="inlineStr">
        <is>
          <t>KALMAR LÄN</t>
        </is>
      </c>
      <c r="G229" t="inlineStr">
        <is>
          <t>TORSÅS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45426</v>
      </c>
      <c r="E230" s="1" t="n">
        <v>46323</v>
      </c>
      <c r="F230" t="inlineStr">
        <is>
          <t>KALMAR LÄN</t>
        </is>
      </c>
      <c r="G230" t="inlineStr">
        <is>
          <t>TORSÅS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46323</v>
      </c>
      <c r="F231" t="inlineStr">
        <is>
          <t>KALMAR LÄN</t>
        </is>
      </c>
      <c r="G231" t="inlineStr">
        <is>
          <t>TORSÅS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32525-2024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45513</v>
      </c>
      <c r="E232" s="1" t="n">
        <v>46323</v>
      </c>
      <c r="F232" t="inlineStr">
        <is>
          <t>KALMAR LÄN</t>
        </is>
      </c>
      <c r="G232" t="inlineStr">
        <is>
          <t>TORSÅS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32532-2024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45513</v>
      </c>
      <c r="E233" s="1" t="n">
        <v>46323</v>
      </c>
      <c r="F233" t="inlineStr">
        <is>
          <t>KALMAR LÄN</t>
        </is>
      </c>
      <c r="G233" t="inlineStr">
        <is>
          <t>TORSÅS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46323</v>
      </c>
      <c r="F234" t="inlineStr">
        <is>
          <t>KALMAR LÄN</t>
        </is>
      </c>
      <c r="G234" t="inlineStr">
        <is>
          <t>TORSÅS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45785</v>
      </c>
      <c r="E235" s="1" t="n">
        <v>46323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46323</v>
      </c>
      <c r="F236" t="inlineStr">
        <is>
          <t>KALMAR LÄN</t>
        </is>
      </c>
      <c r="G236" t="inlineStr">
        <is>
          <t>TORSÅS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46323</v>
      </c>
      <c r="F237" t="inlineStr">
        <is>
          <t>KALMAR LÄN</t>
        </is>
      </c>
      <c r="G237" t="inlineStr">
        <is>
          <t>TORSÅS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45440</v>
      </c>
      <c r="E238" s="1" t="n">
        <v>46323</v>
      </c>
      <c r="F238" t="inlineStr">
        <is>
          <t>KALMAR LÄN</t>
        </is>
      </c>
      <c r="G238" t="inlineStr">
        <is>
          <t>TORSÅS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46323</v>
      </c>
      <c r="F239" t="inlineStr">
        <is>
          <t>KALMAR LÄN</t>
        </is>
      </c>
      <c r="G239" t="inlineStr">
        <is>
          <t>TORSÅS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45084</v>
      </c>
      <c r="E240" s="1" t="n">
        <v>46323</v>
      </c>
      <c r="F240" t="inlineStr">
        <is>
          <t>KALMAR LÄN</t>
        </is>
      </c>
      <c r="G240" t="inlineStr">
        <is>
          <t>TORSÅS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59130-2025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45988</v>
      </c>
      <c r="E241" s="1" t="n">
        <v>46323</v>
      </c>
      <c r="F241" t="inlineStr">
        <is>
          <t>KALMAR LÄN</t>
        </is>
      </c>
      <c r="G241" t="inlineStr">
        <is>
          <t>TORSÅS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44967</v>
      </c>
      <c r="E242" s="1" t="n">
        <v>46323</v>
      </c>
      <c r="F242" t="inlineStr">
        <is>
          <t>KALMAR LÄN</t>
        </is>
      </c>
      <c r="G242" t="inlineStr">
        <is>
          <t>TORSÅS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46323</v>
      </c>
      <c r="F243" t="inlineStr">
        <is>
          <t>KALMAR LÄN</t>
        </is>
      </c>
      <c r="G243" t="inlineStr">
        <is>
          <t>TORSÅS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44679</v>
      </c>
      <c r="E244" s="1" t="n">
        <v>46323</v>
      </c>
      <c r="F244" t="inlineStr">
        <is>
          <t>KALMAR LÄN</t>
        </is>
      </c>
      <c r="G244" t="inlineStr">
        <is>
          <t>TORSÅS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46323</v>
      </c>
      <c r="F245" t="inlineStr">
        <is>
          <t>KALMAR LÄN</t>
        </is>
      </c>
      <c r="G245" t="inlineStr">
        <is>
          <t>TORSÅS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46323</v>
      </c>
      <c r="F246" t="inlineStr">
        <is>
          <t>KALMAR LÄN</t>
        </is>
      </c>
      <c r="G246" t="inlineStr">
        <is>
          <t>TORSÅS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70315-2021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46323</v>
      </c>
      <c r="F247" t="inlineStr">
        <is>
          <t>KALMAR LÄN</t>
        </is>
      </c>
      <c r="G247" t="inlineStr">
        <is>
          <t>TORSÅS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46323</v>
      </c>
      <c r="F248" t="inlineStr">
        <is>
          <t>KALMAR LÄN</t>
        </is>
      </c>
      <c r="G248" t="inlineStr">
        <is>
          <t>TORSÅS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45527</v>
      </c>
      <c r="E249" s="1" t="n">
        <v>46323</v>
      </c>
      <c r="F249" t="inlineStr">
        <is>
          <t>KALMAR LÄN</t>
        </is>
      </c>
      <c r="G249" t="inlineStr">
        <is>
          <t>TORSÅS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46323</v>
      </c>
      <c r="F250" t="inlineStr">
        <is>
          <t>KALMAR LÄN</t>
        </is>
      </c>
      <c r="G250" t="inlineStr">
        <is>
          <t>TORSÅS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46323</v>
      </c>
      <c r="F251" t="inlineStr">
        <is>
          <t>KALMAR LÄN</t>
        </is>
      </c>
      <c r="G251" t="inlineStr">
        <is>
          <t>TORSÅS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46323</v>
      </c>
      <c r="F252" t="inlineStr">
        <is>
          <t>KALMAR LÄN</t>
        </is>
      </c>
      <c r="G252" t="inlineStr">
        <is>
          <t>TORSÅS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46323</v>
      </c>
      <c r="F253" t="inlineStr">
        <is>
          <t>KALMAR LÄN</t>
        </is>
      </c>
      <c r="G253" t="inlineStr">
        <is>
          <t>TORSÅS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46203</v>
      </c>
      <c r="E254" s="1" t="n">
        <v>46323</v>
      </c>
      <c r="F254" t="inlineStr">
        <is>
          <t>KALMAR LÄN</t>
        </is>
      </c>
      <c r="G254" t="inlineStr">
        <is>
          <t>TORSÅS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45063</v>
      </c>
      <c r="E255" s="1" t="n">
        <v>46323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45624</v>
      </c>
      <c r="E256" s="1" t="n">
        <v>46323</v>
      </c>
      <c r="F256" t="inlineStr">
        <is>
          <t>KALMAR LÄN</t>
        </is>
      </c>
      <c r="G256" t="inlineStr">
        <is>
          <t>TORSÅS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45027</v>
      </c>
      <c r="E257" s="1" t="n">
        <v>46323</v>
      </c>
      <c r="F257" t="inlineStr">
        <is>
          <t>KALMAR LÄN</t>
        </is>
      </c>
      <c r="G257" t="inlineStr">
        <is>
          <t>TORSÅS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44795</v>
      </c>
      <c r="E258" s="1" t="n">
        <v>46323</v>
      </c>
      <c r="F258" t="inlineStr">
        <is>
          <t>KALMAR LÄN</t>
        </is>
      </c>
      <c r="G258" t="inlineStr">
        <is>
          <t>TORSÅS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46323</v>
      </c>
      <c r="F259" t="inlineStr">
        <is>
          <t>KALMAR LÄN</t>
        </is>
      </c>
      <c r="G259" t="inlineStr">
        <is>
          <t>TORSÅS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45194</v>
      </c>
      <c r="E260" s="1" t="n">
        <v>46323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45050</v>
      </c>
      <c r="E261" s="1" t="n">
        <v>46323</v>
      </c>
      <c r="F261" t="inlineStr">
        <is>
          <t>KALMAR LÄN</t>
        </is>
      </c>
      <c r="G261" t="inlineStr">
        <is>
          <t>TORSÅS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46323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46323</v>
      </c>
      <c r="F263" t="inlineStr">
        <is>
          <t>KALMAR LÄN</t>
        </is>
      </c>
      <c r="G263" t="inlineStr">
        <is>
          <t>TORSÅS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46323</v>
      </c>
      <c r="F264" t="inlineStr">
        <is>
          <t>KALMAR LÄN</t>
        </is>
      </c>
      <c r="G264" t="inlineStr">
        <is>
          <t>TORSÅS</t>
        </is>
      </c>
      <c r="I264" t="n">
        <v>12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46323</v>
      </c>
      <c r="F265" t="inlineStr">
        <is>
          <t>KALMAR LÄN</t>
        </is>
      </c>
      <c r="G265" t="inlineStr">
        <is>
          <t>TORSÅS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45196</v>
      </c>
      <c r="E266" s="1" t="n">
        <v>46323</v>
      </c>
      <c r="F266" t="inlineStr">
        <is>
          <t>KALMAR LÄN</t>
        </is>
      </c>
      <c r="G266" t="inlineStr">
        <is>
          <t>TORSÅS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46323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46323</v>
      </c>
      <c r="F268" t="inlineStr">
        <is>
          <t>KALMAR LÄN</t>
        </is>
      </c>
      <c r="G268" t="inlineStr">
        <is>
          <t>TORSÅS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46323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44861</v>
      </c>
      <c r="E270" s="1" t="n">
        <v>46323</v>
      </c>
      <c r="F270" t="inlineStr">
        <is>
          <t>KALMAR LÄN</t>
        </is>
      </c>
      <c r="G270" t="inlineStr">
        <is>
          <t>TORSÅS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45196</v>
      </c>
      <c r="E271" s="1" t="n">
        <v>46323</v>
      </c>
      <c r="F271" t="inlineStr">
        <is>
          <t>KALMAR LÄN</t>
        </is>
      </c>
      <c r="G271" t="inlineStr">
        <is>
          <t>TORSÅS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23776-2022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46323</v>
      </c>
      <c r="F272" t="inlineStr">
        <is>
          <t>KALMAR LÄN</t>
        </is>
      </c>
      <c r="G272" t="inlineStr">
        <is>
          <t>TORSÅS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45195</v>
      </c>
      <c r="E273" s="1" t="n">
        <v>46323</v>
      </c>
      <c r="F273" t="inlineStr">
        <is>
          <t>KALMAR LÄN</t>
        </is>
      </c>
      <c r="G273" t="inlineStr">
        <is>
          <t>TORSÅS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31228-2026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46217</v>
      </c>
      <c r="E274" s="1" t="n">
        <v>46323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46323</v>
      </c>
      <c r="F275" t="inlineStr">
        <is>
          <t>KALMAR LÄN</t>
        </is>
      </c>
      <c r="G275" t="inlineStr">
        <is>
          <t>TORSÅS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46218</v>
      </c>
      <c r="E276" s="1" t="n">
        <v>46323</v>
      </c>
      <c r="F276" t="inlineStr">
        <is>
          <t>KALMAR LÄN</t>
        </is>
      </c>
      <c r="G276" t="inlineStr">
        <is>
          <t>TORSÅS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46218</v>
      </c>
      <c r="E277" s="1" t="n">
        <v>46323</v>
      </c>
      <c r="F277" t="inlineStr">
        <is>
          <t>KALMAR LÄN</t>
        </is>
      </c>
      <c r="G277" t="inlineStr">
        <is>
          <t>TORSÅS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45252</v>
      </c>
      <c r="E278" s="1" t="n">
        <v>46323</v>
      </c>
      <c r="F278" t="inlineStr">
        <is>
          <t>KALMAR LÄN</t>
        </is>
      </c>
      <c r="G278" t="inlineStr">
        <is>
          <t>TORSÅS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45977</v>
      </c>
      <c r="E279" s="1" t="n">
        <v>46323</v>
      </c>
      <c r="F279" t="inlineStr">
        <is>
          <t>KALMAR LÄN</t>
        </is>
      </c>
      <c r="G279" t="inlineStr">
        <is>
          <t>TORSÅS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46323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54716-2024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45618</v>
      </c>
      <c r="E281" s="1" t="n">
        <v>46323</v>
      </c>
      <c r="F281" t="inlineStr">
        <is>
          <t>KALMAR LÄN</t>
        </is>
      </c>
      <c r="G281" t="inlineStr">
        <is>
          <t>TORSÅS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45250</v>
      </c>
      <c r="E282" s="1" t="n">
        <v>46323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46323</v>
      </c>
      <c r="F283" t="inlineStr">
        <is>
          <t>KALMAR LÄN</t>
        </is>
      </c>
      <c r="G283" t="inlineStr">
        <is>
          <t>TORSÅS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46323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46323</v>
      </c>
      <c r="F285" t="inlineStr">
        <is>
          <t>KALMAR LÄN</t>
        </is>
      </c>
      <c r="G285" t="inlineStr">
        <is>
          <t>TORSÅS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45240</v>
      </c>
      <c r="E286" s="1" t="n">
        <v>46323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46323</v>
      </c>
      <c r="F287" t="inlineStr">
        <is>
          <t>KALMAR LÄN</t>
        </is>
      </c>
      <c r="G287" t="inlineStr">
        <is>
          <t>TORSÅS</t>
        </is>
      </c>
      <c r="H287" t="inlineStr">
        <is>
          <t>Kommuner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46323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46323</v>
      </c>
      <c r="F289" t="inlineStr">
        <is>
          <t>KALMAR LÄN</t>
        </is>
      </c>
      <c r="G289" t="inlineStr">
        <is>
          <t>TORSÅS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45551</v>
      </c>
      <c r="E290" s="1" t="n">
        <v>46323</v>
      </c>
      <c r="F290" t="inlineStr">
        <is>
          <t>KALMAR LÄN</t>
        </is>
      </c>
      <c r="G290" t="inlineStr">
        <is>
          <t>TORSÅS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29933-2024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45488</v>
      </c>
      <c r="E291" s="1" t="n">
        <v>46323</v>
      </c>
      <c r="F291" t="inlineStr">
        <is>
          <t>KALMAR LÄN</t>
        </is>
      </c>
      <c r="G291" t="inlineStr">
        <is>
          <t>TORSÅS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45716</v>
      </c>
      <c r="E292" s="1" t="n">
        <v>46323</v>
      </c>
      <c r="F292" t="inlineStr">
        <is>
          <t>KALMAR LÄN</t>
        </is>
      </c>
      <c r="G292" t="inlineStr">
        <is>
          <t>TORSÅS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46323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46323</v>
      </c>
      <c r="F294" t="inlineStr">
        <is>
          <t>KALMAR LÄN</t>
        </is>
      </c>
      <c r="G294" t="inlineStr">
        <is>
          <t>TORSÅS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38807-2026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46286</v>
      </c>
      <c r="E295" s="1" t="n">
        <v>46323</v>
      </c>
      <c r="F295" t="inlineStr">
        <is>
          <t>KALMAR LÄN</t>
        </is>
      </c>
      <c r="G295" t="inlineStr">
        <is>
          <t>TORSÅS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44741</v>
      </c>
      <c r="E296" s="1" t="n">
        <v>46323</v>
      </c>
      <c r="F296" t="inlineStr">
        <is>
          <t>KALMAR LÄN</t>
        </is>
      </c>
      <c r="G296" t="inlineStr">
        <is>
          <t>TORSÅS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46323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46323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46323</v>
      </c>
      <c r="F299" t="inlineStr">
        <is>
          <t>KALMAR LÄN</t>
        </is>
      </c>
      <c r="G299" t="inlineStr">
        <is>
          <t>TORSÅS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51275-2023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45219</v>
      </c>
      <c r="E300" s="1" t="n">
        <v>46323</v>
      </c>
      <c r="F300" t="inlineStr">
        <is>
          <t>KALMAR LÄN</t>
        </is>
      </c>
      <c r="G300" t="inlineStr">
        <is>
          <t>TORSÅS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46083</v>
      </c>
      <c r="E301" s="1" t="n">
        <v>46323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21577-2022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44706</v>
      </c>
      <c r="E302" s="1" t="n">
        <v>46323</v>
      </c>
      <c r="F302" t="inlineStr">
        <is>
          <t>KALMAR LÄN</t>
        </is>
      </c>
      <c r="G302" t="inlineStr">
        <is>
          <t>TORSÅS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46323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46323</v>
      </c>
      <c r="F304" t="inlineStr">
        <is>
          <t>KALMAR LÄN</t>
        </is>
      </c>
      <c r="G304" t="inlineStr">
        <is>
          <t>TORSÅS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46323</v>
      </c>
      <c r="F305" t="inlineStr">
        <is>
          <t>KALMAR LÄN</t>
        </is>
      </c>
      <c r="G305" t="inlineStr">
        <is>
          <t>TORSÅS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39728-2024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45552</v>
      </c>
      <c r="E306" s="1" t="n">
        <v>46323</v>
      </c>
      <c r="F306" t="inlineStr">
        <is>
          <t>KALMAR LÄN</t>
        </is>
      </c>
      <c r="G306" t="inlineStr">
        <is>
          <t>TORSÅS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46323</v>
      </c>
      <c r="F307" t="inlineStr">
        <is>
          <t>KALMAR LÄN</t>
        </is>
      </c>
      <c r="G307" t="inlineStr">
        <is>
          <t>TORSÅS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46323</v>
      </c>
      <c r="F308" t="inlineStr">
        <is>
          <t>KALMAR LÄN</t>
        </is>
      </c>
      <c r="G308" t="inlineStr">
        <is>
          <t>TORSÅS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46323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46323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46323</v>
      </c>
      <c r="F311" t="inlineStr">
        <is>
          <t>KALMAR LÄN</t>
        </is>
      </c>
      <c r="G311" t="inlineStr">
        <is>
          <t>TORSÅS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46323</v>
      </c>
      <c r="F312" t="inlineStr">
        <is>
          <t>KALMAR LÄN</t>
        </is>
      </c>
      <c r="G312" t="inlineStr">
        <is>
          <t>TORSÅS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46572-2023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46323</v>
      </c>
      <c r="F313" t="inlineStr">
        <is>
          <t>KALMAR LÄN</t>
        </is>
      </c>
      <c r="G313" t="inlineStr">
        <is>
          <t>TORSÅS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64373-2023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46323</v>
      </c>
      <c r="F314" t="inlineStr">
        <is>
          <t>KALMAR LÄN</t>
        </is>
      </c>
      <c r="G314" t="inlineStr">
        <is>
          <t>TORSÅS</t>
        </is>
      </c>
      <c r="I314" t="n">
        <v>19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44851</v>
      </c>
      <c r="E315" s="1" t="n">
        <v>46323</v>
      </c>
      <c r="F315" t="inlineStr">
        <is>
          <t>KALMAR LÄN</t>
        </is>
      </c>
      <c r="G315" t="inlineStr">
        <is>
          <t>TORSÅS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46323</v>
      </c>
      <c r="F316" t="inlineStr">
        <is>
          <t>KALMAR LÄN</t>
        </is>
      </c>
      <c r="G316" t="inlineStr">
        <is>
          <t>TORSÅS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44958</v>
      </c>
      <c r="E317" s="1" t="n">
        <v>46323</v>
      </c>
      <c r="F317" t="inlineStr">
        <is>
          <t>KALMAR LÄN</t>
        </is>
      </c>
      <c r="G317" t="inlineStr">
        <is>
          <t>TORSÅS</t>
        </is>
      </c>
      <c r="H317" t="inlineStr">
        <is>
          <t>Övriga Aktiebolag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46323</v>
      </c>
      <c r="F318" t="inlineStr">
        <is>
          <t>KALMAR LÄN</t>
        </is>
      </c>
      <c r="G318" t="inlineStr">
        <is>
          <t>TORSÅS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46323</v>
      </c>
      <c r="F319" t="inlineStr">
        <is>
          <t>KALMAR LÄN</t>
        </is>
      </c>
      <c r="G319" t="inlineStr">
        <is>
          <t>TORSÅS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46323</v>
      </c>
      <c r="F320" t="inlineStr">
        <is>
          <t>KALMAR LÄN</t>
        </is>
      </c>
      <c r="G320" t="inlineStr">
        <is>
          <t>TORSÅS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58038-2022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44900</v>
      </c>
      <c r="E321" s="1" t="n">
        <v>46323</v>
      </c>
      <c r="F321" t="inlineStr">
        <is>
          <t>KALMAR LÄN</t>
        </is>
      </c>
      <c r="G321" t="inlineStr">
        <is>
          <t>TORSÅS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45145</v>
      </c>
      <c r="E322" s="1" t="n">
        <v>46323</v>
      </c>
      <c r="F322" t="inlineStr">
        <is>
          <t>KALMAR LÄN</t>
        </is>
      </c>
      <c r="G322" t="inlineStr">
        <is>
          <t>TORSÅS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46323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46323</v>
      </c>
      <c r="F324" t="inlineStr">
        <is>
          <t>KALMAR LÄN</t>
        </is>
      </c>
      <c r="G324" t="inlineStr">
        <is>
          <t>TORSÅS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46323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45362</v>
      </c>
      <c r="E326" s="1" t="n">
        <v>46323</v>
      </c>
      <c r="F326" t="inlineStr">
        <is>
          <t>KALMAR LÄN</t>
        </is>
      </c>
      <c r="G326" t="inlineStr">
        <is>
          <t>TORSÅS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44879</v>
      </c>
      <c r="E327" s="1" t="n">
        <v>46323</v>
      </c>
      <c r="F327" t="inlineStr">
        <is>
          <t>KALMAR LÄN</t>
        </is>
      </c>
      <c r="G327" t="inlineStr">
        <is>
          <t>TORSÅS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46323</v>
      </c>
      <c r="F328" t="inlineStr">
        <is>
          <t>KALMAR LÄN</t>
        </is>
      </c>
      <c r="G328" t="inlineStr">
        <is>
          <t>TORSÅS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46323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46255</v>
      </c>
      <c r="E330" s="1" t="n">
        <v>46323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46255</v>
      </c>
      <c r="E331" s="1" t="n">
        <v>46323</v>
      </c>
      <c r="F331" t="inlineStr">
        <is>
          <t>KALMAR LÄN</t>
        </is>
      </c>
      <c r="G331" t="inlineStr">
        <is>
          <t>TORSÅS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46323</v>
      </c>
      <c r="F332" t="inlineStr">
        <is>
          <t>KALMAR LÄN</t>
        </is>
      </c>
      <c r="G332" t="inlineStr">
        <is>
          <t>TORSÅS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46323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46300</v>
      </c>
      <c r="E334" s="1" t="n">
        <v>46323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45075</v>
      </c>
      <c r="E335" s="1" t="n">
        <v>46323</v>
      </c>
      <c r="F335" t="inlineStr">
        <is>
          <t>KALMAR LÄN</t>
        </is>
      </c>
      <c r="G335" t="inlineStr">
        <is>
          <t>TORSÅS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46323</v>
      </c>
      <c r="F336" t="inlineStr">
        <is>
          <t>KALMAR LÄN</t>
        </is>
      </c>
      <c r="G336" t="inlineStr">
        <is>
          <t>TORSÅS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44977</v>
      </c>
      <c r="E337" s="1" t="n">
        <v>46323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44637</v>
      </c>
      <c r="E338" s="1" t="n">
        <v>46323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46323</v>
      </c>
      <c r="F339" t="inlineStr">
        <is>
          <t>KALMAR LÄN</t>
        </is>
      </c>
      <c r="G339" t="inlineStr">
        <is>
          <t>TORSÅS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46323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46323</v>
      </c>
      <c r="F341" t="inlineStr">
        <is>
          <t>KALMAR LÄN</t>
        </is>
      </c>
      <c r="G341" t="inlineStr">
        <is>
          <t>TORSÅS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16841-2026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46323</v>
      </c>
      <c r="F342" t="inlineStr">
        <is>
          <t>KALMAR LÄN</t>
        </is>
      </c>
      <c r="G342" t="inlineStr">
        <is>
          <t>TORSÅS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46323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46323</v>
      </c>
      <c r="F344" t="inlineStr">
        <is>
          <t>KALMAR LÄN</t>
        </is>
      </c>
      <c r="G344" t="inlineStr">
        <is>
          <t>TORSÅS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13027-2026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46323</v>
      </c>
      <c r="F345" t="inlineStr">
        <is>
          <t>KALMAR LÄN</t>
        </is>
      </c>
      <c r="G345" t="inlineStr">
        <is>
          <t>TORSÅS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41616-2026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46302</v>
      </c>
      <c r="E346" s="1" t="n">
        <v>46323</v>
      </c>
      <c r="F346" t="inlineStr">
        <is>
          <t>KALMAR LÄN</t>
        </is>
      </c>
      <c r="G346" t="inlineStr">
        <is>
          <t>TORSÅS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32573-2025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46323</v>
      </c>
      <c r="F347" t="inlineStr">
        <is>
          <t>KALMAR LÄN</t>
        </is>
      </c>
      <c r="G347" t="inlineStr">
        <is>
          <t>TORSÅS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44792</v>
      </c>
      <c r="E348" s="1" t="n">
        <v>46323</v>
      </c>
      <c r="F348" t="inlineStr">
        <is>
          <t>KALMAR LÄN</t>
        </is>
      </c>
      <c r="G348" t="inlineStr">
        <is>
          <t>TORSÅS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46260</v>
      </c>
      <c r="E349" s="1" t="n">
        <v>46323</v>
      </c>
      <c r="F349" t="inlineStr">
        <is>
          <t>KALMAR LÄN</t>
        </is>
      </c>
      <c r="G349" t="inlineStr">
        <is>
          <t>TORSÅS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46323</v>
      </c>
      <c r="F350" t="inlineStr">
        <is>
          <t>KALMAR LÄN</t>
        </is>
      </c>
      <c r="G350" t="inlineStr">
        <is>
          <t>TORSÅS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46323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45425</v>
      </c>
      <c r="E352" s="1" t="n">
        <v>46323</v>
      </c>
      <c r="F352" t="inlineStr">
        <is>
          <t>KALMAR LÄN</t>
        </is>
      </c>
      <c r="G352" t="inlineStr">
        <is>
          <t>TORSÅS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45040</v>
      </c>
      <c r="E353" s="1" t="n">
        <v>46323</v>
      </c>
      <c r="F353" t="inlineStr">
        <is>
          <t>KALMAR LÄN</t>
        </is>
      </c>
      <c r="G353" t="inlineStr">
        <is>
          <t>TORSÅS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46323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46304</v>
      </c>
      <c r="E355" s="1" t="n">
        <v>46323</v>
      </c>
      <c r="F355" t="inlineStr">
        <is>
          <t>KALMAR LÄN</t>
        </is>
      </c>
      <c r="G355" t="inlineStr">
        <is>
          <t>TORSÅS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45426</v>
      </c>
      <c r="E356" s="1" t="n">
        <v>46323</v>
      </c>
      <c r="F356" t="inlineStr">
        <is>
          <t>KALMAR LÄN</t>
        </is>
      </c>
      <c r="G356" t="inlineStr">
        <is>
          <t>TORSÅS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38847-2023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46323</v>
      </c>
      <c r="F357" t="inlineStr">
        <is>
          <t>KALMAR LÄN</t>
        </is>
      </c>
      <c r="G357" t="inlineStr">
        <is>
          <t>TORSÅS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46323</v>
      </c>
      <c r="F358" t="inlineStr">
        <is>
          <t>KALMAR LÄN</t>
        </is>
      </c>
      <c r="G358" t="inlineStr">
        <is>
          <t>TORSÅS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44593</v>
      </c>
      <c r="E359" s="1" t="n">
        <v>46323</v>
      </c>
      <c r="F359" t="inlineStr">
        <is>
          <t>KALMAR LÄN</t>
        </is>
      </c>
      <c r="G359" t="inlineStr">
        <is>
          <t>TORSÅS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46265</v>
      </c>
      <c r="E360" s="1" t="n">
        <v>46323</v>
      </c>
      <c r="F360" t="inlineStr">
        <is>
          <t>KALMAR LÄN</t>
        </is>
      </c>
      <c r="G360" t="inlineStr">
        <is>
          <t>TORSÅS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46265</v>
      </c>
      <c r="E361" s="1" t="n">
        <v>46323</v>
      </c>
      <c r="F361" t="inlineStr">
        <is>
          <t>KALMAR LÄN</t>
        </is>
      </c>
      <c r="G361" t="inlineStr">
        <is>
          <t>TORSÅS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46323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66543-2021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44519</v>
      </c>
      <c r="E363" s="1" t="n">
        <v>46323</v>
      </c>
      <c r="F363" t="inlineStr">
        <is>
          <t>KALMAR LÄN</t>
        </is>
      </c>
      <c r="G363" t="inlineStr">
        <is>
          <t>TORSÅS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46323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46323</v>
      </c>
      <c r="F365" t="inlineStr">
        <is>
          <t>KALMAR LÄN</t>
        </is>
      </c>
      <c r="G365" t="inlineStr">
        <is>
          <t>TORSÅS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46265</v>
      </c>
      <c r="E366" s="1" t="n">
        <v>46323</v>
      </c>
      <c r="F366" t="inlineStr">
        <is>
          <t>KALMAR LÄN</t>
        </is>
      </c>
      <c r="G366" t="inlineStr">
        <is>
          <t>TORSÅS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46323</v>
      </c>
      <c r="F367" t="inlineStr">
        <is>
          <t>KALMAR LÄN</t>
        </is>
      </c>
      <c r="G367" t="inlineStr">
        <is>
          <t>TORSÅS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46323</v>
      </c>
      <c r="F368" t="inlineStr">
        <is>
          <t>KALMAR LÄN</t>
        </is>
      </c>
      <c r="G368" t="inlineStr">
        <is>
          <t>TORSÅS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46323</v>
      </c>
      <c r="F369" t="inlineStr">
        <is>
          <t>KALMAR LÄN</t>
        </is>
      </c>
      <c r="G369" t="inlineStr">
        <is>
          <t>TORSÅS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45624</v>
      </c>
      <c r="E370" s="1" t="n">
        <v>46323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46309</v>
      </c>
      <c r="E371" s="1" t="n">
        <v>46323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46323</v>
      </c>
      <c r="F372" t="inlineStr">
        <is>
          <t>KALMAR LÄN</t>
        </is>
      </c>
      <c r="G372" t="inlineStr">
        <is>
          <t>TORSÅS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28945-2025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45820</v>
      </c>
      <c r="E373" s="1" t="n">
        <v>46323</v>
      </c>
      <c r="F373" t="inlineStr">
        <is>
          <t>KALMAR LÄN</t>
        </is>
      </c>
      <c r="G373" t="inlineStr">
        <is>
          <t>TORSÅS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46323</v>
      </c>
      <c r="F374" t="inlineStr">
        <is>
          <t>KALMAR LÄN</t>
        </is>
      </c>
      <c r="G374" t="inlineStr">
        <is>
          <t>TORSÅS</t>
        </is>
      </c>
      <c r="I374" t="n">
        <v>15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46323</v>
      </c>
      <c r="F375" t="inlineStr">
        <is>
          <t>KALMAR LÄN</t>
        </is>
      </c>
      <c r="G375" t="inlineStr">
        <is>
          <t>TORSÅS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46268</v>
      </c>
      <c r="E376" s="1" t="n">
        <v>46323</v>
      </c>
      <c r="F376" t="inlineStr">
        <is>
          <t>KALMAR LÄN</t>
        </is>
      </c>
      <c r="G376" t="inlineStr">
        <is>
          <t>TORSÅS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45139</v>
      </c>
      <c r="E377" s="1" t="n">
        <v>46323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46323</v>
      </c>
      <c r="F378" t="inlineStr">
        <is>
          <t>KALMAR LÄN</t>
        </is>
      </c>
      <c r="G378" t="inlineStr">
        <is>
          <t>TORSÅS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36410-2026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46323</v>
      </c>
      <c r="F379" t="inlineStr">
        <is>
          <t>KALMAR LÄN</t>
        </is>
      </c>
      <c r="G379" t="inlineStr">
        <is>
          <t>TORSÅS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46323</v>
      </c>
      <c r="F380" t="inlineStr">
        <is>
          <t>KALMAR LÄN</t>
        </is>
      </c>
      <c r="G380" t="inlineStr">
        <is>
          <t>TORSÅS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45309</v>
      </c>
      <c r="E381" s="1" t="n">
        <v>46323</v>
      </c>
      <c r="F381" t="inlineStr">
        <is>
          <t>KALMAR LÄN</t>
        </is>
      </c>
      <c r="G381" t="inlineStr">
        <is>
          <t>TORSÅS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30225-2025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46323</v>
      </c>
      <c r="F382" t="inlineStr">
        <is>
          <t>KALMAR LÄN</t>
        </is>
      </c>
      <c r="G382" t="inlineStr">
        <is>
          <t>TORSÅS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54741-2022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44883</v>
      </c>
      <c r="E383" s="1" t="n">
        <v>46323</v>
      </c>
      <c r="F383" t="inlineStr">
        <is>
          <t>KALMAR LÄN</t>
        </is>
      </c>
      <c r="G383" t="inlineStr">
        <is>
          <t>TORSÅS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45716</v>
      </c>
      <c r="E384" s="1" t="n">
        <v>46323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45695</v>
      </c>
      <c r="E385" s="1" t="n">
        <v>46323</v>
      </c>
      <c r="F385" t="inlineStr">
        <is>
          <t>KALMAR LÄN</t>
        </is>
      </c>
      <c r="G385" t="inlineStr">
        <is>
          <t>TORSÅS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46272</v>
      </c>
      <c r="E386" s="1" t="n">
        <v>46323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46323</v>
      </c>
      <c r="F387" t="inlineStr">
        <is>
          <t>KALMAR LÄN</t>
        </is>
      </c>
      <c r="G387" t="inlineStr">
        <is>
          <t>TORSÅS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46293</v>
      </c>
      <c r="E388" s="1" t="n">
        <v>46323</v>
      </c>
      <c r="F388" t="inlineStr">
        <is>
          <t>KALMAR LÄN</t>
        </is>
      </c>
      <c r="G388" t="inlineStr">
        <is>
          <t>TORSÅS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52072-2023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45223</v>
      </c>
      <c r="E389" s="1" t="n">
        <v>46323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46323</v>
      </c>
      <c r="F390" t="inlineStr">
        <is>
          <t>KALMAR LÄN</t>
        </is>
      </c>
      <c r="G390" t="inlineStr">
        <is>
          <t>TORSÅS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46323</v>
      </c>
      <c r="F391" t="inlineStr">
        <is>
          <t>KALMAR LÄN</t>
        </is>
      </c>
      <c r="G391" t="inlineStr">
        <is>
          <t>TORSÅS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37953-2026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46280</v>
      </c>
      <c r="E392" s="1" t="n">
        <v>46323</v>
      </c>
      <c r="F392" t="inlineStr">
        <is>
          <t>KALMAR LÄN</t>
        </is>
      </c>
      <c r="G392" t="inlineStr">
        <is>
          <t>TORSÅS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46323</v>
      </c>
      <c r="F393" t="inlineStr">
        <is>
          <t>KALMAR LÄN</t>
        </is>
      </c>
      <c r="G393" t="inlineStr">
        <is>
          <t>TORSÅS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46278</v>
      </c>
      <c r="E394" s="1" t="n">
        <v>46323</v>
      </c>
      <c r="F394" t="inlineStr">
        <is>
          <t>KALMAR LÄN</t>
        </is>
      </c>
      <c r="G394" t="inlineStr">
        <is>
          <t>TORSÅS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44484-2025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46323</v>
      </c>
      <c r="F395" t="inlineStr">
        <is>
          <t>KALMAR LÄN</t>
        </is>
      </c>
      <c r="G395" t="inlineStr">
        <is>
          <t>TORSÅS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42910-2025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46323</v>
      </c>
      <c r="F396" t="inlineStr">
        <is>
          <t>KALMAR LÄN</t>
        </is>
      </c>
      <c r="G396" t="inlineStr">
        <is>
          <t>TORSÅS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35771-2025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45860</v>
      </c>
      <c r="E397" s="1" t="n">
        <v>46323</v>
      </c>
      <c r="F397" t="inlineStr">
        <is>
          <t>KALMAR LÄN</t>
        </is>
      </c>
      <c r="G397" t="inlineStr">
        <is>
          <t>TORSÅS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45869</v>
      </c>
      <c r="E398" s="1" t="n">
        <v>46323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45869</v>
      </c>
      <c r="E399" s="1" t="n">
        <v>46323</v>
      </c>
      <c r="F399" t="inlineStr">
        <is>
          <t>KALMAR LÄN</t>
        </is>
      </c>
      <c r="G399" t="inlineStr">
        <is>
          <t>TORSÅS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45869</v>
      </c>
      <c r="E400" s="1" t="n">
        <v>46323</v>
      </c>
      <c r="F400" t="inlineStr">
        <is>
          <t>KALMAR LÄN</t>
        </is>
      </c>
      <c r="G400" t="inlineStr">
        <is>
          <t>TORSÅS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46323</v>
      </c>
      <c r="F401" t="inlineStr">
        <is>
          <t>KALMAR LÄN</t>
        </is>
      </c>
      <c r="G401" t="inlineStr">
        <is>
          <t>TORSÅS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46111</v>
      </c>
      <c r="E402" s="1" t="n">
        <v>46323</v>
      </c>
      <c r="F402" t="inlineStr">
        <is>
          <t>KALMAR LÄN</t>
        </is>
      </c>
      <c r="G402" t="inlineStr">
        <is>
          <t>TORSÅS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45798</v>
      </c>
      <c r="E403" s="1" t="n">
        <v>46323</v>
      </c>
      <c r="F403" t="inlineStr">
        <is>
          <t>KALMAR LÄN</t>
        </is>
      </c>
      <c r="G403" t="inlineStr">
        <is>
          <t>TORSÅS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46323</v>
      </c>
      <c r="F404" t="inlineStr">
        <is>
          <t>KALMAR LÄN</t>
        </is>
      </c>
      <c r="G404" t="inlineStr">
        <is>
          <t>TORSÅS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37626-2025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45880</v>
      </c>
      <c r="E405" s="1" t="n">
        <v>46323</v>
      </c>
      <c r="F405" t="inlineStr">
        <is>
          <t>KALMAR LÄN</t>
        </is>
      </c>
      <c r="G405" t="inlineStr">
        <is>
          <t>TORSÅS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45713</v>
      </c>
      <c r="E406" s="1" t="n">
        <v>46323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46323</v>
      </c>
      <c r="F407" t="inlineStr">
        <is>
          <t>KALMAR LÄN</t>
        </is>
      </c>
      <c r="G407" t="inlineStr">
        <is>
          <t>TORSÅS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44984</v>
      </c>
      <c r="E408" s="1" t="n">
        <v>46323</v>
      </c>
      <c r="F408" t="inlineStr">
        <is>
          <t>KALMAR LÄN</t>
        </is>
      </c>
      <c r="G408" t="inlineStr">
        <is>
          <t>TORSÅS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46323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46323</v>
      </c>
      <c r="F410" t="inlineStr">
        <is>
          <t>KALMAR LÄN</t>
        </is>
      </c>
      <c r="G410" t="inlineStr">
        <is>
          <t>TORSÅS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46174</v>
      </c>
      <c r="E411" s="1" t="n">
        <v>46323</v>
      </c>
      <c r="F411" t="inlineStr">
        <is>
          <t>KALMAR LÄN</t>
        </is>
      </c>
      <c r="G411" t="inlineStr">
        <is>
          <t>TORSÅS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46323</v>
      </c>
      <c r="F412" t="inlineStr">
        <is>
          <t>KALMAR LÄN</t>
        </is>
      </c>
      <c r="G412" t="inlineStr">
        <is>
          <t>TORSÅS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46323</v>
      </c>
      <c r="F413" t="inlineStr">
        <is>
          <t>KALMAR LÄN</t>
        </is>
      </c>
      <c r="G413" t="inlineStr">
        <is>
          <t>TORSÅS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46323</v>
      </c>
      <c r="F414" t="inlineStr">
        <is>
          <t>KALMAR LÄN</t>
        </is>
      </c>
      <c r="G414" t="inlineStr">
        <is>
          <t>TORSÅS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46323</v>
      </c>
      <c r="F415" t="inlineStr">
        <is>
          <t>KALMAR LÄN</t>
        </is>
      </c>
      <c r="G415" t="inlineStr">
        <is>
          <t>TORSÅS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1824-2022</t>
        </is>
      </c>
      <c r="B416" t="inlineStr">
        <is>
          <t>samrådsanmälan</t>
        </is>
      </c>
      <c r="C416" t="inlineStr">
        <is>
          <t>Skogsbilväg</t>
        </is>
      </c>
      <c r="D416" s="1" t="n">
        <v>44658</v>
      </c>
      <c r="E416" s="1" t="n">
        <v>46323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46323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46323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46323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46323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46323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46323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46323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46323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46323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46323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46323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46323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46323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46323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46323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46323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46323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46323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46323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46323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46323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46323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2026-10-28T03:12:04Z</dcterms:created>
  <dcterms:modified xmlns:dcterms="http://purl.org/dc/terms/" xmlns:xsi="http://www.w3.org/2001/XMLSchema-instance" xsi:type="dcterms:W3CDTF">2026-10-28T03:12:04Z</dcterms:modified>
</cp:coreProperties>
</file>